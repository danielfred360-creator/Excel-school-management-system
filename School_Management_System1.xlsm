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Telegram Desktop\"/>
    </mc:Choice>
  </mc:AlternateContent>
  <xr:revisionPtr revIDLastSave="0" documentId="13_ncr:1_{2545C42C-CACB-4719-BF1F-42B199B59088}" xr6:coauthVersionLast="47" xr6:coauthVersionMax="47" xr10:uidLastSave="{00000000-0000-0000-0000-000000000000}"/>
  <bookViews>
    <workbookView xWindow="-120" yWindow="-120" windowWidth="20730" windowHeight="11040" tabRatio="804" xr2:uid="{00000000-000D-0000-FFFF-FFFF00000000}"/>
  </bookViews>
  <sheets>
    <sheet name="Dashboard" sheetId="1" r:id="rId1"/>
    <sheet name="Summary" sheetId="2" r:id="rId2"/>
    <sheet name="Student Registration" sheetId="3" r:id="rId3"/>
    <sheet name="Student Register" sheetId="4" r:id="rId4"/>
    <sheet name="Payment Entry Form" sheetId="5" r:id="rId5"/>
    <sheet name="Payment Tracker" sheetId="6" r:id="rId6"/>
    <sheet name="Attendance Form" sheetId="7" r:id="rId7"/>
    <sheet name="Attendance Register" sheetId="8" r:id="rId8"/>
    <sheet name="Settings" sheetId="9" r:id="rId9"/>
    <sheet name="Staff Register" sheetId="10" r:id="rId10"/>
    <sheet name="Target Tracker" sheetId="11" r:id="rId11"/>
    <sheet name="Attendance Archive" sheetId="13" r:id="rId12"/>
    <sheet name="Dropout Analysis" sheetId="12" r:id="rId13"/>
  </sheets>
  <functionGroups builtInGroupCount="19"/>
  <definedNames>
    <definedName name="AttendanceMonth">Settings!$E$5</definedName>
    <definedName name="AttendanceYear">Settings!$E$6</definedName>
    <definedName name="ClassFeeTable">Settings!$A$4:$B$16</definedName>
    <definedName name="ClassList">Settings!$A$4:$A$16</definedName>
    <definedName name="CurrentSession">Settings!$E$4</definedName>
    <definedName name="SchoolName">Settings!$E$3</definedName>
    <definedName name="StudentLookupList">tblStudents[Student Lookup]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" i="2" l="1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 s="1"/>
  <c r="C4" i="2" a="1"/>
  <c r="C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4" i="2" a="1"/>
  <c r="B4" i="2" s="1"/>
  <c r="F4" i="8"/>
  <c r="E4" i="8"/>
  <c r="D4" i="8"/>
  <c r="C10" i="7"/>
  <c r="C8" i="7"/>
  <c r="C4" i="6"/>
  <c r="B4" i="6"/>
  <c r="C8" i="5"/>
  <c r="C6" i="5"/>
  <c r="L4" i="4"/>
  <c r="J4" i="4"/>
  <c r="C10" i="5" s="1"/>
  <c r="F74" i="2"/>
  <c r="E74" i="2"/>
  <c r="F73" i="2"/>
  <c r="E73" i="2"/>
  <c r="F72" i="2"/>
  <c r="E72" i="2"/>
  <c r="F71" i="2"/>
  <c r="E71" i="2"/>
  <c r="F70" i="2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40" i="2"/>
  <c r="E40" i="2"/>
  <c r="F39" i="2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E6" i="1"/>
  <c r="D6" i="1"/>
  <c r="C6" i="1"/>
  <c r="B6" i="1"/>
  <c r="B3" i="1"/>
  <c r="D4" i="6" l="1"/>
  <c r="H4" i="6" s="1"/>
  <c r="G4" i="8"/>
  <c r="G6" i="1" l="1"/>
  <c r="F6" i="1"/>
  <c r="I4" i="6"/>
  <c r="H6" i="1" l="1"/>
  <c r="L41" i="1" s="1"/>
  <c r="I6" i="1"/>
  <c r="L4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<sst xmlns="http://schemas.openxmlformats.org/spreadsheetml/2006/main" count="151" uniqueCount="106">
  <si>
    <t>SCHOOL MANAGEMENT DASHBOARD</t>
  </si>
  <si>
    <t>Total Students</t>
  </si>
  <si>
    <t>Active Students</t>
  </si>
  <si>
    <t>Inactive Students</t>
  </si>
  <si>
    <t>Revenue Collected (₦)</t>
  </si>
  <si>
    <t>Outstanding Balance (₦)</t>
  </si>
  <si>
    <t>Attendance Rate</t>
  </si>
  <si>
    <t>Students Paid</t>
  </si>
  <si>
    <t>Students Owing</t>
  </si>
  <si>
    <t>Status</t>
  </si>
  <si>
    <t>Count</t>
  </si>
  <si>
    <t>Paid</t>
  </si>
  <si>
    <t>Owing</t>
  </si>
  <si>
    <t>SUMMARY DATA (feeds Dashboard charts - do not delete)</t>
  </si>
  <si>
    <t>Month</t>
  </si>
  <si>
    <t>New Registrations</t>
  </si>
  <si>
    <t>Payments Collected (₦)</t>
  </si>
  <si>
    <t>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</si>
  <si>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</si>
  <si>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</si>
  <si>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</si>
  <si>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</si>
  <si>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</si>
  <si>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</si>
  <si>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</si>
  <si>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</si>
  <si>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</si>
  <si>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</si>
  <si>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</si>
  <si>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</si>
  <si>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STUDENT REGISTRATION FORM</t>
  </si>
  <si>
    <t>Student Name</t>
  </si>
  <si>
    <t>Gender</t>
  </si>
  <si>
    <t>Age</t>
  </si>
  <si>
    <t>Parent Name</t>
  </si>
  <si>
    <t>Phone Number</t>
  </si>
  <si>
    <t>Class</t>
  </si>
  <si>
    <t>Student School</t>
  </si>
  <si>
    <t>STUDENT REGISTER</t>
  </si>
  <si>
    <t>Student ID</t>
  </si>
  <si>
    <t>Registration Date</t>
  </si>
  <si>
    <t>Tuition Fee</t>
  </si>
  <si>
    <t>Student Status</t>
  </si>
  <si>
    <t>Student Lookup</t>
  </si>
  <si>
    <t>PAYMENT ENTRY FORM</t>
  </si>
  <si>
    <t>Monthly Fee</t>
  </si>
  <si>
    <t>Amount Paid</t>
  </si>
  <si>
    <t>STUDENT PAYMENT TRACKER</t>
  </si>
  <si>
    <t>Payment Date</t>
  </si>
  <si>
    <t>Balance</t>
  </si>
  <si>
    <t>Payment Status</t>
  </si>
  <si>
    <t>ATTENDANCE FORM</t>
  </si>
  <si>
    <t>Attendance Date</t>
  </si>
  <si>
    <t>Attendance Status</t>
  </si>
  <si>
    <t>STUDENT ATTENDANCE REGISTER</t>
  </si>
  <si>
    <t>Present</t>
  </si>
  <si>
    <t>Absent</t>
  </si>
  <si>
    <t>Total Classes</t>
  </si>
  <si>
    <t>Attendance %</t>
  </si>
  <si>
    <t>SYSTEM SETTINGS</t>
  </si>
  <si>
    <t>Monthly Fee (₦)</t>
  </si>
  <si>
    <t>School Name</t>
  </si>
  <si>
    <t>Pre Nursery</t>
  </si>
  <si>
    <t>Current Session</t>
  </si>
  <si>
    <t>2025/2026</t>
  </si>
  <si>
    <t>Nursery</t>
  </si>
  <si>
    <t>Attendance Month</t>
  </si>
  <si>
    <t>Primary 1</t>
  </si>
  <si>
    <t>Attendance Year</t>
  </si>
  <si>
    <t>Primary 2</t>
  </si>
  <si>
    <t>Attendance Days</t>
  </si>
  <si>
    <t>Monday,Tuesday,Wednesday,Thursday</t>
  </si>
  <si>
    <t>Primary 3</t>
  </si>
  <si>
    <t>Primary 4</t>
  </si>
  <si>
    <t>NOTE</t>
  </si>
  <si>
    <t>Edit the yellow cells only. All forms and reports read live from this sheet.</t>
  </si>
  <si>
    <t>Primary 5</t>
  </si>
  <si>
    <t>Jss 1</t>
  </si>
  <si>
    <t>Jss 2</t>
  </si>
  <si>
    <t>Jss 3</t>
  </si>
  <si>
    <t>Sss 1</t>
  </si>
  <si>
    <t>Sss 2</t>
  </si>
  <si>
    <t>Sss 3</t>
  </si>
  <si>
    <t>STAFF REGISTER</t>
  </si>
  <si>
    <t>Staff ID</t>
  </si>
  <si>
    <t>Name of Staff</t>
  </si>
  <si>
    <t>Role</t>
  </si>
  <si>
    <t>Date Joined</t>
  </si>
  <si>
    <t>TARGET TRACKER</t>
  </si>
  <si>
    <t>DROPOUT ANALYSIS</t>
  </si>
  <si>
    <t>ST001</t>
  </si>
  <si>
    <t>Fred David</t>
  </si>
  <si>
    <t>Isaac Johnson</t>
  </si>
  <si>
    <t>ST002</t>
  </si>
  <si>
    <t>Isaac Esther</t>
  </si>
  <si>
    <t>ST003</t>
  </si>
  <si>
    <t>Emenike Vincent</t>
  </si>
  <si>
    <t>ST004</t>
  </si>
  <si>
    <t>Emenike Jerry</t>
  </si>
  <si>
    <t>ST005</t>
  </si>
  <si>
    <t>Alozie Crystal</t>
  </si>
  <si>
    <t>ST006</t>
  </si>
  <si>
    <t xml:space="preserve">Student ID </t>
  </si>
  <si>
    <t xml:space="preserve">Year </t>
  </si>
  <si>
    <t xml:space="preserve"> Absent</t>
  </si>
  <si>
    <t>Daniel's Tut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</si>
</sst>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%"/>
    <numFmt numFmtId="165" formatCode="dd\-mmm"/>
    <numFmt numFmtId="166" formatCode="dd\-mmm\-yyyy"/>
    <numFmt numFmtId="167" formatCode="&quot;✓&quot;;;&quot;✗&quot;"/>
    <numFmt numFmtId="168" formatCode="[$₦-466]\ #,##0.00;\-[$₦-466]\ #,##0.00"/>
    <numFmt numFmtId="169" formatCode="[$₦-466]\ #,##0"/>
    <numFmt numFmtId="170" formatCode="[$₦-466]\ #,##0.00"/>
  </numFmts>
  <fonts count="15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sz val="11"/>
      <color rgb="FFFFFFFF"/>
      <name val="Calibri"/>
    </font>
    <font>
      <sz val="11"/>
      <name val="Calibri"/>
    </font>
    <font>
      <b/>
      <sz val="11"/>
      <color rgb="FF1F3864"/>
      <name val="Calibri"/>
    </font>
    <font>
      <i/>
      <sz val="9"/>
      <color rgb="FF808080"/>
      <name val="Calibri"/>
    </font>
    <font>
      <b/>
      <sz val="14"/>
      <color rgb="FFFFFFFF"/>
      <name val="Calibri"/>
    </font>
    <font>
      <b/>
      <sz val="10"/>
      <color rgb="FFFFFFFF"/>
      <name val="Calibri"/>
    </font>
    <font>
      <b/>
      <sz val="18"/>
      <color rgb="FFFFFFFF"/>
      <name val="Calibri"/>
    </font>
    <font>
      <i/>
      <sz val="10"/>
      <color rgb="FF595959"/>
      <name val="Calibri"/>
    </font>
    <font>
      <b/>
      <sz val="18"/>
      <color rgb="FF1F3864"/>
      <name val="Calibri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5395"/>
      </patternFill>
    </fill>
    <fill>
      <patternFill patternType="solid">
        <fgColor rgb="FFFFF2CC"/>
      </patternFill>
    </fill>
    <fill>
      <patternFill patternType="solid">
        <fgColor rgb="FFF2F2F2"/>
      </patternFill>
    </fill>
    <fill>
      <patternFill patternType="solid">
        <fgColor rgb="FFDCE6F1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44" fontId="11" fillId="0" borderId="0" applyFont="0" applyFill="0" applyBorder="0" applyAlignment="0" applyProtection="0"/>
  </cellStyleXfs>
  <cellXfs count="47">
    <xf numFmtId="0" fontId="0" fillId="0" borderId="0" xfId="0"/>
    <xf numFmtId="0" fontId="7" fillId="3" borderId="0" xfId="0" applyFont="1" applyFill="1" applyAlignment="1">
      <alignment horizontal="center" vertical="center"/>
    </xf>
    <xf numFmtId="1" fontId="10" fillId="6" borderId="0" xfId="0" applyNumberFormat="1" applyFont="1" applyFill="1" applyAlignment="1">
      <alignment horizontal="center" vertical="center"/>
    </xf>
    <xf numFmtId="3" fontId="10" fillId="6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3" fontId="0" fillId="0" borderId="0" xfId="0" applyNumberFormat="1"/>
    <xf numFmtId="165" fontId="0" fillId="0" borderId="0" xfId="0" applyNumberFormat="1"/>
    <xf numFmtId="0" fontId="4" fillId="0" borderId="0" xfId="0" applyFont="1"/>
    <xf numFmtId="0" fontId="3" fillId="4" borderId="2" xfId="0" applyFont="1" applyFill="1" applyBorder="1"/>
    <xf numFmtId="0" fontId="0" fillId="5" borderId="0" xfId="0" applyFill="1"/>
    <xf numFmtId="3" fontId="3" fillId="4" borderId="2" xfId="0" applyNumberFormat="1" applyFont="1" applyFill="1" applyBorder="1"/>
    <xf numFmtId="165" fontId="7" fillId="3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/>
    <xf numFmtId="1" fontId="3" fillId="4" borderId="2" xfId="0" applyNumberFormat="1" applyFont="1" applyFill="1" applyBorder="1"/>
    <xf numFmtId="164" fontId="10" fillId="6" borderId="0" xfId="0" applyNumberFormat="1" applyFont="1" applyFill="1" applyAlignment="1">
      <alignment horizontal="center" vertical="center"/>
    </xf>
    <xf numFmtId="164" fontId="0" fillId="0" borderId="0" xfId="0" applyNumberFormat="1"/>
    <xf numFmtId="166" fontId="0" fillId="0" borderId="0" xfId="0" applyNumberFormat="1"/>
    <xf numFmtId="166" fontId="3" fillId="4" borderId="2" xfId="0" applyNumberFormat="1" applyFont="1" applyFill="1" applyBorder="1"/>
    <xf numFmtId="0" fontId="3" fillId="4" borderId="2" xfId="0" applyFont="1" applyFill="1" applyBorder="1" applyAlignment="1">
      <alignment horizontal="left"/>
    </xf>
    <xf numFmtId="49" fontId="2" fillId="3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0" fontId="13" fillId="4" borderId="2" xfId="0" applyFont="1" applyFill="1" applyBorder="1"/>
    <xf numFmtId="49" fontId="13" fillId="4" borderId="2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center"/>
    </xf>
    <xf numFmtId="49" fontId="13" fillId="4" borderId="2" xfId="0" applyNumberFormat="1" applyFont="1" applyFill="1" applyBorder="1"/>
    <xf numFmtId="169" fontId="0" fillId="0" borderId="0" xfId="0" applyNumberFormat="1"/>
    <xf numFmtId="169" fontId="0" fillId="5" borderId="0" xfId="0" applyNumberFormat="1" applyFill="1"/>
    <xf numFmtId="169" fontId="3" fillId="4" borderId="2" xfId="0" applyNumberFormat="1" applyFont="1" applyFill="1" applyBorder="1"/>
    <xf numFmtId="170" fontId="0" fillId="0" borderId="0" xfId="0" applyNumberFormat="1"/>
    <xf numFmtId="0" fontId="0" fillId="0" borderId="0" xfId="0" applyFont="1" applyFill="1"/>
    <xf numFmtId="0" fontId="0" fillId="0" borderId="0" xfId="0" applyAlignment="1"/>
    <xf numFmtId="0" fontId="14" fillId="0" borderId="0" xfId="0" applyFont="1"/>
    <xf numFmtId="10" fontId="0" fillId="0" borderId="0" xfId="0" applyNumberFormat="1"/>
    <xf numFmtId="0" fontId="9" fillId="0" borderId="0" xfId="0" applyFont="1"/>
    <xf numFmtId="0" fontId="0" fillId="0" borderId="0" xfId="0"/>
    <xf numFmtId="0" fontId="8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horizontal="left" vertical="center" indent="1"/>
    </xf>
    <xf numFmtId="0" fontId="12" fillId="0" borderId="0" xfId="0" applyFont="1" applyFill="1" applyAlignment="1">
      <alignment horizontal="center"/>
    </xf>
    <xf numFmtId="0" fontId="0" fillId="0" borderId="0" xfId="0" applyFill="1"/>
    <xf numFmtId="0" fontId="6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/>
  </cellXfs>
  <cellStyles count="2">
    <cellStyle name="Currency" xfId="1" builtinId="4"/>
    <cellStyle name="Normal" xfId="0" builtinId="0"/>
  </cellStyles>
  <dxfs count="21"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>
          <bgColor rgb="FFFFC000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70" formatCode="[$₦-466]\ #,##0.0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numFmt numFmtId="168" formatCode="[$₦-466]\ #,##0.00;\-[$₦-466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Monthly Registrations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Summary!$B$3</c:f>
              <c:strCache>
                <c:ptCount val="1"/>
                <c:pt idx="0">
                  <c:v>New Registrations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Summary!$A$4:$A$15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F8-4025-8298-8A491158C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Students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Monthly Payments Collected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Summary!$C$3</c:f>
              <c:strCache>
                <c:ptCount val="1"/>
                <c:pt idx="0">
                  <c:v>Payments Collected (₦)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Summary!$A$4:$A$15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Summary!$C$4:$C$15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A-4C23-8AC7-2F01428BA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₦</a:t>
                </a:r>
              </a:p>
            </c:rich>
          </c:tx>
          <c:overlay val="1"/>
        </c:title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Attendance Trend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Summary!$F$3</c:f>
              <c:strCache>
                <c:ptCount val="1"/>
                <c:pt idx="0">
                  <c:v>Attendance Rate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Summary!$E$4:$E$74</c:f>
              <c:strCache>
                <c:ptCount val="17"/>
                <c:pt idx="0">
                  <c:v>03-Aug</c:v>
                </c:pt>
                <c:pt idx="1">
                  <c:v>04-Aug</c:v>
                </c:pt>
                <c:pt idx="2">
                  <c:v>05-Aug</c:v>
                </c:pt>
                <c:pt idx="3">
                  <c:v>06-Aug</c:v>
                </c:pt>
                <c:pt idx="4">
                  <c:v>10-Aug</c:v>
                </c:pt>
                <c:pt idx="5">
                  <c:v>11-Aug</c:v>
                </c:pt>
                <c:pt idx="6">
                  <c:v>12-Aug</c:v>
                </c:pt>
                <c:pt idx="7">
                  <c:v>13-Aug</c:v>
                </c:pt>
                <c:pt idx="8">
                  <c:v>17-Aug</c:v>
                </c:pt>
                <c:pt idx="9">
                  <c:v>18-Aug</c:v>
                </c:pt>
                <c:pt idx="10">
                  <c:v>19-Aug</c:v>
                </c:pt>
                <c:pt idx="11">
                  <c:v>20-Aug</c:v>
                </c:pt>
                <c:pt idx="12">
                  <c:v>24-Aug</c:v>
                </c:pt>
                <c:pt idx="13">
                  <c:v>25-Aug</c:v>
                </c:pt>
                <c:pt idx="14">
                  <c:v>26-Aug</c:v>
                </c:pt>
                <c:pt idx="15">
                  <c:v>27-Aug</c:v>
                </c:pt>
                <c:pt idx="16">
                  <c:v>31-Aug</c:v>
                </c:pt>
              </c:strCache>
            </c:strRef>
          </c:cat>
          <c:val>
            <c:numRef>
              <c:f>Summary!$F$4:$F$74</c:f>
              <c:numCache>
                <c:formatCode>0.0%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0B6-4291-B53F-45ECA2907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1"/>
        </c:title>
        <c:numFmt formatCode="dd\-mmm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Attendance Rate</a:t>
                </a:r>
              </a:p>
            </c:rich>
          </c:tx>
          <c:overlay val="1"/>
        </c:title>
        <c:numFmt formatCode="0.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Students Paid vs Owing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Dashboard!$L$40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cat>
            <c:strRef>
              <c:f>Dashboard!$K$41:$K$42</c:f>
              <c:strCache>
                <c:ptCount val="2"/>
                <c:pt idx="0">
                  <c:v>Paid</c:v>
                </c:pt>
                <c:pt idx="1">
                  <c:v>Owing</c:v>
                </c:pt>
              </c:strCache>
            </c:strRef>
          </c:cat>
          <c:val>
            <c:numRef>
              <c:f>Dashboard!$L$41:$L$42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8-4DD7-B42C-8D4D372C7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576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8</xdr:row>
      <xdr:rowOff>0</xdr:rowOff>
    </xdr:from>
    <xdr:ext cx="576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24</xdr:row>
      <xdr:rowOff>0</xdr:rowOff>
    </xdr:from>
    <xdr:ext cx="11520000" cy="28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7</xdr:col>
      <xdr:colOff>0</xdr:colOff>
      <xdr:row>24</xdr:row>
      <xdr:rowOff>0</xdr:rowOff>
    </xdr:from>
    <xdr:ext cx="5040000" cy="288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twoCellAnchor>
    <xdr:from>
      <xdr:col>8</xdr:col>
      <xdr:colOff>571500</xdr:colOff>
      <xdr:row>0</xdr:row>
      <xdr:rowOff>38101</xdr:rowOff>
    </xdr:from>
    <xdr:to>
      <xdr:col>13</xdr:col>
      <xdr:colOff>38100</xdr:colOff>
      <xdr:row>2</xdr:row>
      <xdr:rowOff>47626</xdr:rowOff>
    </xdr:to>
    <xdr:sp macro="[0]!RefreshDashboar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EE59AF0-CE47-3426-D434-93ACD8382BA5}"/>
            </a:ext>
          </a:extLst>
        </xdr:cNvPr>
        <xdr:cNvSpPr/>
      </xdr:nvSpPr>
      <xdr:spPr>
        <a:xfrm>
          <a:off x="9925050" y="38101"/>
          <a:ext cx="2343150" cy="552450"/>
        </a:xfrm>
        <a:prstGeom prst="roundRect">
          <a:avLst/>
        </a:prstGeom>
        <a:solidFill>
          <a:srgbClr val="00B050"/>
        </a:solidFill>
        <a:ln w="76200">
          <a:noFill/>
        </a:ln>
        <a:effectLst>
          <a:glow rad="101600">
            <a:schemeClr val="accent1">
              <a:satMod val="175000"/>
              <a:alpha val="40000"/>
            </a:schemeClr>
          </a:glow>
          <a:reflection blurRad="6350" stA="50000" endA="275" endPos="40000" dist="1016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Lucida Sans Typewriter" panose="020B0509030504030204" pitchFamily="49" charset="0"/>
            </a:rPr>
            <a:t>[ Refresh Dashboard</a:t>
          </a:r>
          <a:r>
            <a:rPr lang="en-US" sz="1200" b="1" baseline="0">
              <a:latin typeface="Lucida Sans Typewriter" panose="020B0509030504030204" pitchFamily="49" charset="0"/>
            </a:rPr>
            <a:t> ]</a:t>
          </a:r>
          <a:endParaRPr lang="en-US" sz="1200" b="1">
            <a:latin typeface="Lucida Sans Typewriter" panose="020B05090305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19050</xdr:colOff>
      <xdr:row>20</xdr:row>
      <xdr:rowOff>0</xdr:rowOff>
    </xdr:to>
    <xdr:sp macro="[0]!RegisterStudent" textlink="">
      <xdr:nvSpPr>
        <xdr:cNvPr id="2" name="Rectangle 1">
          <a:extLst>
            <a:ext uri="{FF2B5EF4-FFF2-40B4-BE49-F238E27FC236}">
              <a16:creationId xmlns:a16="http://schemas.microsoft.com/office/drawing/2014/main" id="{FDB636E4-4870-1024-E8A6-A055E66688AE}"/>
            </a:ext>
          </a:extLst>
        </xdr:cNvPr>
        <xdr:cNvSpPr/>
      </xdr:nvSpPr>
      <xdr:spPr>
        <a:xfrm>
          <a:off x="200025" y="3590925"/>
          <a:ext cx="1485900" cy="381000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[ Register Student ]</a:t>
          </a:r>
        </a:p>
      </xdr:txBody>
    </xdr:sp>
    <xdr:clientData/>
  </xdr:twoCellAnchor>
  <xdr:twoCellAnchor>
    <xdr:from>
      <xdr:col>2</xdr:col>
      <xdr:colOff>1</xdr:colOff>
      <xdr:row>18</xdr:row>
      <xdr:rowOff>0</xdr:rowOff>
    </xdr:from>
    <xdr:to>
      <xdr:col>2</xdr:col>
      <xdr:colOff>1990725</xdr:colOff>
      <xdr:row>20</xdr:row>
      <xdr:rowOff>0</xdr:rowOff>
    </xdr:to>
    <xdr:sp macro="[0]!ClearRegistrationForm" textlink="">
      <xdr:nvSpPr>
        <xdr:cNvPr id="3" name="Rectangle 2">
          <a:extLst>
            <a:ext uri="{FF2B5EF4-FFF2-40B4-BE49-F238E27FC236}">
              <a16:creationId xmlns:a16="http://schemas.microsoft.com/office/drawing/2014/main" id="{2ED1F4BF-B779-4210-AB93-BA56926E36C5}"/>
            </a:ext>
          </a:extLst>
        </xdr:cNvPr>
        <xdr:cNvSpPr/>
      </xdr:nvSpPr>
      <xdr:spPr>
        <a:xfrm>
          <a:off x="1666876" y="3590925"/>
          <a:ext cx="1990724" cy="381000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[ Clear Form ]</a:t>
          </a:r>
        </a:p>
      </xdr:txBody>
    </xdr:sp>
    <xdr:clientData/>
  </xdr:twoCellAnchor>
  <xdr:twoCellAnchor>
    <xdr:from>
      <xdr:col>13</xdr:col>
      <xdr:colOff>495299</xdr:colOff>
      <xdr:row>1</xdr:row>
      <xdr:rowOff>66675</xdr:rowOff>
    </xdr:from>
    <xdr:to>
      <xdr:col>16</xdr:col>
      <xdr:colOff>504824</xdr:colOff>
      <xdr:row>3</xdr:row>
      <xdr:rowOff>47625</xdr:rowOff>
    </xdr:to>
    <xdr:sp macro="[0]!NavToPaymen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E06FBE-BB7D-D79B-F1C6-58CDB74A550F}"/>
            </a:ext>
          </a:extLst>
        </xdr:cNvPr>
        <xdr:cNvSpPr/>
      </xdr:nvSpPr>
      <xdr:spPr>
        <a:xfrm>
          <a:off x="9848849" y="257175"/>
          <a:ext cx="1838325" cy="523875"/>
        </a:xfrm>
        <a:prstGeom prst="roundRect">
          <a:avLst/>
        </a:prstGeom>
        <a:solidFill>
          <a:srgbClr val="FFC000"/>
        </a:solidFill>
        <a:ln w="3175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[</a:t>
          </a:r>
          <a:r>
            <a:rPr lang="en-US" sz="1200" b="1" baseline="0">
              <a:solidFill>
                <a:schemeClr val="tx1"/>
              </a:solidFill>
            </a:rPr>
            <a:t> Navigate to Payment ]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0</xdr:rowOff>
    </xdr:from>
    <xdr:to>
      <xdr:col>1</xdr:col>
      <xdr:colOff>1323975</xdr:colOff>
      <xdr:row>16</xdr:row>
      <xdr:rowOff>9525</xdr:rowOff>
    </xdr:to>
    <xdr:sp macro="[0]!SavePayment" textlink="">
      <xdr:nvSpPr>
        <xdr:cNvPr id="2" name="Rectangle 1">
          <a:extLst>
            <a:ext uri="{FF2B5EF4-FFF2-40B4-BE49-F238E27FC236}">
              <a16:creationId xmlns:a16="http://schemas.microsoft.com/office/drawing/2014/main" id="{C25BCCB7-2BC5-DB1E-9EAE-29FBB62A29A1}"/>
            </a:ext>
          </a:extLst>
        </xdr:cNvPr>
        <xdr:cNvSpPr/>
      </xdr:nvSpPr>
      <xdr:spPr>
        <a:xfrm>
          <a:off x="209550" y="2828925"/>
          <a:ext cx="1314450" cy="390525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[ Save Payment ]</a:t>
          </a:r>
        </a:p>
      </xdr:txBody>
    </xdr:sp>
    <xdr:clientData/>
  </xdr:twoCellAnchor>
  <xdr:twoCellAnchor>
    <xdr:from>
      <xdr:col>14</xdr:col>
      <xdr:colOff>1</xdr:colOff>
      <xdr:row>0</xdr:row>
      <xdr:rowOff>123825</xdr:rowOff>
    </xdr:from>
    <xdr:to>
      <xdr:col>16</xdr:col>
      <xdr:colOff>590551</xdr:colOff>
      <xdr:row>2</xdr:row>
      <xdr:rowOff>152400</xdr:rowOff>
    </xdr:to>
    <xdr:sp macro="[0]!NavToAttendanceRegi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029F66D-2F8D-65B2-41A0-B936C6EA5A9C}"/>
            </a:ext>
          </a:extLst>
        </xdr:cNvPr>
        <xdr:cNvSpPr/>
      </xdr:nvSpPr>
      <xdr:spPr>
        <a:xfrm>
          <a:off x="10239376" y="123825"/>
          <a:ext cx="1809750" cy="5715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[</a:t>
          </a:r>
          <a:r>
            <a:rPr lang="en-US" sz="1100" b="1" baseline="0">
              <a:solidFill>
                <a:schemeClr val="tx1"/>
              </a:solidFill>
            </a:rPr>
            <a:t> Navigate to Attendace ]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9525</xdr:rowOff>
    </xdr:from>
    <xdr:to>
      <xdr:col>2</xdr:col>
      <xdr:colOff>0</xdr:colOff>
      <xdr:row>16</xdr:row>
      <xdr:rowOff>9525</xdr:rowOff>
    </xdr:to>
    <xdr:sp macro="[0]!SaveAttendance" textlink="">
      <xdr:nvSpPr>
        <xdr:cNvPr id="2" name="Rectangle 1">
          <a:extLst>
            <a:ext uri="{FF2B5EF4-FFF2-40B4-BE49-F238E27FC236}">
              <a16:creationId xmlns:a16="http://schemas.microsoft.com/office/drawing/2014/main" id="{D547ED7A-C796-E693-6217-31E5620FFBF6}"/>
            </a:ext>
          </a:extLst>
        </xdr:cNvPr>
        <xdr:cNvSpPr/>
      </xdr:nvSpPr>
      <xdr:spPr>
        <a:xfrm>
          <a:off x="209550" y="2838450"/>
          <a:ext cx="1323975" cy="381000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[ Save Attendance ]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sp macro="[0]!GenerateAttendanceDates" textlink="">
      <xdr:nvSpPr>
        <xdr:cNvPr id="3" name="Rectangle 2">
          <a:extLst>
            <a:ext uri="{FF2B5EF4-FFF2-40B4-BE49-F238E27FC236}">
              <a16:creationId xmlns:a16="http://schemas.microsoft.com/office/drawing/2014/main" id="{C32E0F66-AE3D-478E-A21C-EEB62F1B1FB3}"/>
            </a:ext>
          </a:extLst>
        </xdr:cNvPr>
        <xdr:cNvSpPr/>
      </xdr:nvSpPr>
      <xdr:spPr>
        <a:xfrm>
          <a:off x="200025" y="3400425"/>
          <a:ext cx="3333750" cy="3810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[ Generate Attendance Dates ]</a:t>
          </a:r>
        </a:p>
      </xdr:txBody>
    </xdr:sp>
    <xdr:clientData/>
  </xdr:twoCellAnchor>
  <xdr:twoCellAnchor>
    <xdr:from>
      <xdr:col>3</xdr:col>
      <xdr:colOff>200025</xdr:colOff>
      <xdr:row>17</xdr:row>
      <xdr:rowOff>0</xdr:rowOff>
    </xdr:from>
    <xdr:to>
      <xdr:col>8</xdr:col>
      <xdr:colOff>485775</xdr:colOff>
      <xdr:row>19</xdr:row>
      <xdr:rowOff>0</xdr:rowOff>
    </xdr:to>
    <xdr:sp macro="[0]!ArchiveAndStartNewMonth" textlink="">
      <xdr:nvSpPr>
        <xdr:cNvPr id="4" name="Rectangle 3">
          <a:extLst>
            <a:ext uri="{FF2B5EF4-FFF2-40B4-BE49-F238E27FC236}">
              <a16:creationId xmlns:a16="http://schemas.microsoft.com/office/drawing/2014/main" id="{72151425-993F-4893-912A-0FC8E65B455C}"/>
            </a:ext>
          </a:extLst>
        </xdr:cNvPr>
        <xdr:cNvSpPr/>
      </xdr:nvSpPr>
      <xdr:spPr>
        <a:xfrm>
          <a:off x="3733800" y="3400425"/>
          <a:ext cx="3333750" cy="381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 b="1">
              <a:solidFill>
                <a:schemeClr val="tx1"/>
              </a:solidFill>
            </a:rPr>
            <a:t>[ Attendance</a:t>
          </a:r>
          <a:r>
            <a:rPr lang="en-US" sz="1100" b="1" baseline="0">
              <a:solidFill>
                <a:schemeClr val="tx1"/>
              </a:solidFill>
            </a:rPr>
            <a:t> Archive </a:t>
          </a:r>
          <a:r>
            <a:rPr lang="en-US" sz="1100" b="1">
              <a:solidFill>
                <a:schemeClr val="tx1"/>
              </a:solidFill>
            </a:rPr>
            <a:t>]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104774</xdr:colOff>
      <xdr:row>0</xdr:row>
      <xdr:rowOff>28575</xdr:rowOff>
    </xdr:from>
    <xdr:to>
      <xdr:col>17</xdr:col>
      <xdr:colOff>342899</xdr:colOff>
      <xdr:row>2</xdr:row>
      <xdr:rowOff>295275</xdr:rowOff>
    </xdr:to>
    <xdr:sp macro="[0]!ResetDatabas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405A759-8C78-009B-7C6B-F6959DE7C13F}"/>
            </a:ext>
          </a:extLst>
        </xdr:cNvPr>
        <xdr:cNvSpPr/>
      </xdr:nvSpPr>
      <xdr:spPr>
        <a:xfrm>
          <a:off x="10448924" y="28575"/>
          <a:ext cx="2066925" cy="809625"/>
        </a:xfrm>
        <a:prstGeom prst="roundRect">
          <a:avLst/>
        </a:prstGeom>
        <a:solidFill>
          <a:srgbClr val="FF0000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76200" dist="12700" dir="2700000" sy="-23000" kx="-800400" algn="bl" rotWithShape="0">
            <a:prstClr val="black">
              <a:alpha val="20000"/>
            </a:prstClr>
          </a:outerShdw>
          <a:reflection blurRad="6350" stA="50000" endA="300" endPos="38500" dist="50800" dir="5400000" sy="-100000" algn="bl" rotWithShape="0"/>
        </a:effectLst>
        <a:scene3d>
          <a:camera prst="obliqueTopRight"/>
          <a:lightRig rig="flood" dir="t">
            <a:rot lat="0" lon="0" rev="13800000"/>
          </a:lightRig>
        </a:scene3d>
        <a:sp3d extrusionH="107950" prstMaterial="plastic">
          <a:bevelT w="82550" h="63500" prst="artDeco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[</a:t>
          </a:r>
          <a:r>
            <a:rPr lang="en-US" sz="1200" b="1" baseline="0"/>
            <a:t> FORMAT WORKBOOK ]</a:t>
          </a:r>
          <a:endParaRPr lang="en-US" sz="12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tudents" displayName="tblStudents" ref="A3:L4">
  <autoFilter ref="A3:L4" xr:uid="{00000000-0009-0000-0100-000001000000}"/>
  <tableColumns count="12">
    <tableColumn id="1" xr3:uid="{00000000-0010-0000-0000-000001000000}" name="Student ID" dataDxfId="20"/>
    <tableColumn id="2" xr3:uid="{00000000-0010-0000-0000-000002000000}" name="Student Name" dataDxfId="19"/>
    <tableColumn id="3" xr3:uid="{00000000-0010-0000-0000-000003000000}" name="Gender" dataDxfId="18"/>
    <tableColumn id="4" xr3:uid="{00000000-0010-0000-0000-000004000000}" name="Age" dataDxfId="17"/>
    <tableColumn id="5" xr3:uid="{00000000-0010-0000-0000-000005000000}" name="Parent Name" dataDxfId="16"/>
    <tableColumn id="6" xr3:uid="{00000000-0010-0000-0000-000006000000}" name="Phone Number" dataDxfId="15"/>
    <tableColumn id="7" xr3:uid="{00000000-0010-0000-0000-000007000000}" name="Student School" dataDxfId="14"/>
    <tableColumn id="8" xr3:uid="{00000000-0010-0000-0000-000008000000}" name="Class" dataDxfId="13"/>
    <tableColumn id="9" xr3:uid="{00000000-0010-0000-0000-000009000000}" name="Registration Date" dataDxfId="12"/>
    <tableColumn id="10" xr3:uid="{00000000-0010-0000-0000-00000A000000}" name="Tuition Fee" dataDxfId="11" dataCellStyle="Currency"/>
    <tableColumn id="11" xr3:uid="{00000000-0010-0000-0000-00000B000000}" name="Student Status" dataDxfId="10"/>
    <tableColumn id="12" xr3:uid="{00000000-0010-0000-0000-00000C000000}" name="Student Looku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ayments" displayName="tblPayments" ref="A3:I4">
  <autoFilter ref="A3:I4" xr:uid="{00000000-0009-0000-0100-000002000000}"/>
  <tableColumns count="9">
    <tableColumn id="1" xr3:uid="{00000000-0010-0000-0100-000001000000}" name="Student ID"/>
    <tableColumn id="2" xr3:uid="{00000000-0010-0000-0100-000002000000}" name="Student Name"/>
    <tableColumn id="3" xr3:uid="{00000000-0010-0000-0100-000003000000}" name="Class"/>
    <tableColumn id="4" xr3:uid="{00000000-0010-0000-0100-000004000000}" name="Monthly Fee"/>
    <tableColumn id="5" xr3:uid="{00000000-0010-0000-0100-000005000000}" name="Month"/>
    <tableColumn id="6" xr3:uid="{00000000-0010-0000-0100-000006000000}" name="Payment Date"/>
    <tableColumn id="7" xr3:uid="{00000000-0010-0000-0100-000007000000}" name="Amount Paid" dataDxfId="6"/>
    <tableColumn id="8" xr3:uid="{00000000-0010-0000-0100-000008000000}" name="Balance"/>
    <tableColumn id="9" xr3:uid="{00000000-0010-0000-0100-000009000000}" name="Payment Statu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oaster" displayName="tblRoaster" ref="A3:G4">
  <autoFilter ref="A3:G4" xr:uid="{00000000-0009-0000-0100-000003000000}"/>
  <tableColumns count="7">
    <tableColumn id="1" xr3:uid="{00000000-0010-0000-0200-000001000000}" name="Student ID"/>
    <tableColumn id="2" xr3:uid="{00000000-0010-0000-0200-000002000000}" name="Student Name"/>
    <tableColumn id="3" xr3:uid="{00000000-0010-0000-0200-000003000000}" name="Class"/>
    <tableColumn id="4" xr3:uid="{00000000-0010-0000-0200-000004000000}" name="Present"/>
    <tableColumn id="5" xr3:uid="{00000000-0010-0000-0200-000005000000}" name="Absent"/>
    <tableColumn id="6" xr3:uid="{00000000-0010-0000-0200-000006000000}" name="Total Classes"/>
    <tableColumn id="7" xr3:uid="{00000000-0010-0000-0200-000007000000}" name="Attendance %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Staff" displayName="tblStaff" ref="A3:F4">
  <autoFilter ref="A3:F4" xr:uid="{00000000-0009-0000-0100-000004000000}"/>
  <tableColumns count="6">
    <tableColumn id="1" xr3:uid="{00000000-0010-0000-0300-000001000000}" name="Staff ID"/>
    <tableColumn id="2" xr3:uid="{00000000-0010-0000-0300-000002000000}" name="Name of Staff"/>
    <tableColumn id="3" xr3:uid="{00000000-0010-0000-0300-000003000000}" name="Role"/>
    <tableColumn id="4" xr3:uid="{00000000-0010-0000-0300-000004000000}" name="Phone Number"/>
    <tableColumn id="5" xr3:uid="{00000000-0010-0000-0300-000005000000}" name="Date Joined"/>
    <tableColumn id="6" xr3:uid="{00000000-0010-0000-0300-000006000000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C50509-A15E-4FDF-AC18-90B33F3247F8}" name="tblAttendanceArchive" displayName="tblAttendanceArchive" ref="A1:I8" totalsRowShown="0" headerRowDxfId="1">
  <autoFilter ref="A1:I8" xr:uid="{3CC50509-A15E-4FDF-AC18-90B33F3247F8}"/>
  <tableColumns count="9">
    <tableColumn id="1" xr3:uid="{27E0A5AC-4BE7-4B68-A4E9-F0D484E0CBD0}" name="Student ID "/>
    <tableColumn id="2" xr3:uid="{808DAAAE-E66E-49F6-B1FF-914AD7DD4449}" name="Student Name"/>
    <tableColumn id="3" xr3:uid="{08100B71-8B69-4DFC-A56B-7FDABC175A16}" name="Class"/>
    <tableColumn id="4" xr3:uid="{E31BA5F4-88E3-4D88-B51C-EF29C6F6CC46}" name="Month"/>
    <tableColumn id="5" xr3:uid="{09AAAC0B-B90E-4550-983B-DB70DF86974F}" name="Year "/>
    <tableColumn id="6" xr3:uid="{C5FA0738-CDE0-4F92-A411-4ED2F872CA4E}" name="Present"/>
    <tableColumn id="7" xr3:uid="{FF3398F0-D57A-4CF5-BE3F-E3D78F376A70}" name=" Absent"/>
    <tableColumn id="8" xr3:uid="{D9379954-2BC9-411D-AB5C-8A11E2C46150}" name="Total Classes"/>
    <tableColumn id="9" xr3:uid="{DF4E4715-578E-4246-843B-D590B5860718}" name="Attendance %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864"/>
  </sheetPr>
  <dimension ref="B2:L42"/>
  <sheetViews>
    <sheetView showGridLines="0" tabSelected="1" workbookViewId="0">
      <selection activeCell="B2" sqref="B2:H2"/>
    </sheetView>
  </sheetViews>
  <sheetFormatPr defaultRowHeight="15" x14ac:dyDescent="0.25"/>
  <cols>
    <col min="1" max="1" width="3" customWidth="1"/>
    <col min="2" max="7" width="20" customWidth="1"/>
    <col min="8" max="8" width="17.28515625" customWidth="1"/>
    <col min="9" max="9" width="15" customWidth="1"/>
    <col min="10" max="10" width="6" customWidth="1"/>
    <col min="11" max="11" width="10" customWidth="1"/>
    <col min="12" max="12" width="3" customWidth="1"/>
  </cols>
  <sheetData>
    <row r="2" spans="2:9" ht="27.95" customHeight="1" x14ac:dyDescent="0.25">
      <c r="B2" s="39" t="s">
        <v>0</v>
      </c>
      <c r="C2" s="38"/>
      <c r="D2" s="38"/>
      <c r="E2" s="38"/>
      <c r="F2" s="38"/>
      <c r="G2" s="38"/>
      <c r="H2" s="38"/>
    </row>
    <row r="3" spans="2:9" x14ac:dyDescent="0.25">
      <c r="B3" s="37" t="str">
        <f>Settings!$E$3&amp;"   |   Session: "&amp;Settings!$E$4&amp;"   |   Attendance Month: "&amp;Settings!$E$5&amp;" "&amp;Settings!$E$6</f>
        <v>Daniel's Tut   |   Session: 2025/2026   |   Attendance Month: August 2026</v>
      </c>
      <c r="C3" s="38"/>
      <c r="D3" s="38"/>
      <c r="E3" s="38"/>
      <c r="F3" s="38"/>
      <c r="G3" s="38"/>
      <c r="H3" s="38"/>
    </row>
    <row r="5" spans="2:9" ht="20.100000000000001" customHeight="1" x14ac:dyDescent="0.25"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</row>
    <row r="6" spans="2:9" ht="32.1" customHeight="1" x14ac:dyDescent="0.25">
      <c r="B6" s="2">
        <f>COUNTIF(tblStudents[Student ID],"?*")</f>
        <v>0</v>
      </c>
      <c r="C6" s="2">
        <f>COUNTIF(tblStudents[Student Status],"Active")</f>
        <v>0</v>
      </c>
      <c r="D6" s="2">
        <f>COUNTIF(tblStudents[Student Status],"Inactive")</f>
        <v>0</v>
      </c>
      <c r="E6" s="3">
        <f>SUM(tblPayments[Amount Paid])</f>
        <v>0</v>
      </c>
      <c r="F6" s="3">
        <f>SUM(tblPayments[Balance])</f>
        <v>0</v>
      </c>
      <c r="G6" s="15">
        <f>IFERROR(AVERAGE(tblRoaster[Attendance %]),0)</f>
        <v>0</v>
      </c>
      <c r="H6" s="2">
        <f>COUNTIF(tblPayments[Payment Status],"Paid")</f>
        <v>0</v>
      </c>
      <c r="I6" s="2">
        <f>COUNTIF(tblPayments[Payment Status],"Partial")+COUNTIF(tblPayments[Payment Status],"Unpaid")</f>
        <v>0</v>
      </c>
    </row>
    <row r="40" spans="11:12" x14ac:dyDescent="0.25">
      <c r="K40" t="s">
        <v>9</v>
      </c>
      <c r="L40" t="s">
        <v>10</v>
      </c>
    </row>
    <row r="41" spans="11:12" x14ac:dyDescent="0.25">
      <c r="K41" t="s">
        <v>11</v>
      </c>
      <c r="L41">
        <f>H6</f>
        <v>0</v>
      </c>
    </row>
    <row r="42" spans="11:12" x14ac:dyDescent="0.25">
      <c r="K42" t="s">
        <v>12</v>
      </c>
      <c r="L42">
        <f>I6</f>
        <v>0</v>
      </c>
    </row>
  </sheetData>
  <mergeCells count="2">
    <mergeCell ref="B3:H3"/>
    <mergeCell ref="B2:H2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F74"/>
  <sheetViews>
    <sheetView showGridLines="0" workbookViewId="0">
      <pane ySplit="3" topLeftCell="A4" activePane="bottomLeft" state="frozen"/>
      <selection pane="bottomLeft" activeCell="F14" sqref="F14"/>
    </sheetView>
  </sheetViews>
  <sheetFormatPr defaultRowHeight="15" x14ac:dyDescent="0.25"/>
  <cols>
    <col min="1" max="1" width="14" customWidth="1"/>
    <col min="2" max="3" width="16" customWidth="1"/>
    <col min="4" max="4" width="4" customWidth="1"/>
    <col min="5" max="5" width="9.7109375" customWidth="1"/>
    <col min="6" max="6" width="11.5703125" customWidth="1"/>
  </cols>
  <sheetData>
    <row r="1" spans="1:6" ht="27.95" customHeight="1" x14ac:dyDescent="0.25">
      <c r="A1" s="40" t="s">
        <v>13</v>
      </c>
      <c r="B1" s="38"/>
      <c r="C1" s="38"/>
    </row>
    <row r="3" spans="1:6" ht="30" x14ac:dyDescent="0.25">
      <c r="A3" s="4" t="s">
        <v>14</v>
      </c>
      <c r="B3" s="4" t="s">
        <v>15</v>
      </c>
      <c r="C3" s="4" t="s">
        <v>16</v>
      </c>
      <c r="E3" s="4" t="s">
        <v>17</v>
      </c>
      <c r="F3" s="4" t="s">
        <v>6</v>
      </c>
    </row>
    <row r="4" spans="1:6" x14ac:dyDescent="0.25">
      <c r="A4" t="s">
        <v>18</v>
      </c>
      <c r="B4" cm="1">
        <f t="array" ref="B4">SUMPRODUCT((tblStudents[Registration Date]&lt;&gt;"")*(TEXT(tblStudents[Registration Date],"mmmm")=$A4))</f>
        <v>0</v>
      </c>
      <c r="C4" s="5" cm="1">
        <f t="array" ref="C4">SUMPRODUCT((tblPayments[Payment Date]&lt;&gt;"")*(TEXT(tblPayments[Payment Date],"mmmm")=$A4)*N(tblPayments[Amount Paid]))</f>
        <v>0</v>
      </c>
      <c r="E4" s="6">
        <f>IF(INDEX('Attendance Register'!$H$3:$BZ$3,1,ROW()-3)=0,"",INDEX('Attendance Register'!$H$3:$BZ$3,1,ROW()-3))</f>
        <v>46237</v>
      </c>
      <c r="F4" s="16" t="str">
        <f>IFERROR(AVERAGE(INDEX('Attendance Register'!$H$4:$BZ$500,0,ROW()-3)),"")</f>
        <v/>
      </c>
    </row>
    <row r="5" spans="1:6" x14ac:dyDescent="0.25">
      <c r="A5" t="s">
        <v>19</v>
      </c>
      <c r="B5" cm="1">
        <f t="array" ref="B5">SUMPRODUCT((tblStudents[Registration Date]&lt;&gt;"")*(TEXT(tblStudents[Registration Date],"mmmm")=$A5))</f>
        <v>0</v>
      </c>
      <c r="C5" s="5" cm="1">
        <f t="array" ref="C5">SUMPRODUCT((tblPayments[Payment Date]&lt;&gt;"")*(TEXT(tblPayments[Payment Date],"mmmm")=$A5)*N(tblPayments[Amount Paid]))</f>
        <v>0</v>
      </c>
      <c r="E5" s="6">
        <f>IF(INDEX('Attendance Register'!$H$3:$BZ$3,1,ROW()-3)=0,"",INDEX('Attendance Register'!$H$3:$BZ$3,1,ROW()-3))</f>
        <v>46238</v>
      </c>
      <c r="F5" s="16" t="str">
        <f>IFERROR(AVERAGE(INDEX('Attendance Register'!$H$4:$BZ$500,0,ROW()-3)),"")</f>
        <v/>
      </c>
    </row>
    <row r="6" spans="1:6" x14ac:dyDescent="0.25">
      <c r="A6" t="s">
        <v>20</v>
      </c>
      <c r="B6" cm="1">
        <f t="array" ref="B6">SUMPRODUCT((tblStudents[Registration Date]&lt;&gt;"")*(TEXT(tblStudents[Registration Date],"mmmm")=$A6))</f>
        <v>0</v>
      </c>
      <c r="C6" s="5" cm="1">
        <f t="array" ref="C6">SUMPRODUCT((tblPayments[Payment Date]&lt;&gt;"")*(TEXT(tblPayments[Payment Date],"mmmm")=$A6)*N(tblPayments[Amount Paid]))</f>
        <v>0</v>
      </c>
      <c r="E6" s="6">
        <f>IF(INDEX('Attendance Register'!$H$3:$BZ$3,1,ROW()-3)=0,"",INDEX('Attendance Register'!$H$3:$BZ$3,1,ROW()-3))</f>
        <v>46239</v>
      </c>
      <c r="F6" s="16" t="str">
        <f>IFERROR(AVERAGE(INDEX('Attendance Register'!$H$4:$BZ$500,0,ROW()-3)),"")</f>
        <v/>
      </c>
    </row>
    <row r="7" spans="1:6" x14ac:dyDescent="0.25">
      <c r="A7" t="s">
        <v>21</v>
      </c>
      <c r="B7" cm="1">
        <f t="array" ref="B7">SUMPRODUCT((tblStudents[Registration Date]&lt;&gt;"")*(TEXT(tblStudents[Registration Date],"mmmm")=$A7))</f>
        <v>0</v>
      </c>
      <c r="C7" s="5" cm="1">
        <f t="array" ref="C7">SUMPRODUCT((tblPayments[Payment Date]&lt;&gt;"")*(TEXT(tblPayments[Payment Date],"mmmm")=$A7)*N(tblPayments[Amount Paid]))</f>
        <v>0</v>
      </c>
      <c r="E7" s="6">
        <f>IF(INDEX('Attendance Register'!$H$3:$BZ$3,1,ROW()-3)=0,"",INDEX('Attendance Register'!$H$3:$BZ$3,1,ROW()-3))</f>
        <v>46240</v>
      </c>
      <c r="F7" s="16" t="str">
        <f>IFERROR(AVERAGE(INDEX('Attendance Register'!$H$4:$BZ$500,0,ROW()-3)),"")</f>
        <v/>
      </c>
    </row>
    <row r="8" spans="1:6" x14ac:dyDescent="0.25">
      <c r="A8" t="s">
        <v>22</v>
      </c>
      <c r="B8" cm="1">
        <f t="array" ref="B8">SUMPRODUCT((tblStudents[Registration Date]&lt;&gt;"")*(TEXT(tblStudents[Registration Date],"mmmm")=$A8))</f>
        <v>0</v>
      </c>
      <c r="C8" s="5" cm="1">
        <f t="array" ref="C8">SUMPRODUCT((tblPayments[Payment Date]&lt;&gt;"")*(TEXT(tblPayments[Payment Date],"mmmm")=$A8)*N(tblPayments[Amount Paid]))</f>
        <v>0</v>
      </c>
      <c r="E8" s="6">
        <f>IF(INDEX('Attendance Register'!$H$3:$BZ$3,1,ROW()-3)=0,"",INDEX('Attendance Register'!$H$3:$BZ$3,1,ROW()-3))</f>
        <v>46244</v>
      </c>
      <c r="F8" s="16" t="str">
        <f>IFERROR(AVERAGE(INDEX('Attendance Register'!$H$4:$BZ$500,0,ROW()-3)),"")</f>
        <v/>
      </c>
    </row>
    <row r="9" spans="1:6" x14ac:dyDescent="0.25">
      <c r="A9" t="s">
        <v>23</v>
      </c>
      <c r="B9" cm="1">
        <f t="array" ref="B9">SUMPRODUCT((tblStudents[Registration Date]&lt;&gt;"")*(TEXT(tblStudents[Registration Date],"mmmm")=$A9))</f>
        <v>0</v>
      </c>
      <c r="C9" s="5" cm="1">
        <f t="array" ref="C9">SUMPRODUCT((tblPayments[Payment Date]&lt;&gt;"")*(TEXT(tblPayments[Payment Date],"mmmm")=$A9)*N(tblPayments[Amount Paid]))</f>
        <v>0</v>
      </c>
      <c r="E9" s="6">
        <f>IF(INDEX('Attendance Register'!$H$3:$BZ$3,1,ROW()-3)=0,"",INDEX('Attendance Register'!$H$3:$BZ$3,1,ROW()-3))</f>
        <v>46245</v>
      </c>
      <c r="F9" s="16" t="str">
        <f>IFERROR(AVERAGE(INDEX('Attendance Register'!$H$4:$BZ$500,0,ROW()-3)),"")</f>
        <v/>
      </c>
    </row>
    <row r="10" spans="1:6" x14ac:dyDescent="0.25">
      <c r="A10" t="s">
        <v>24</v>
      </c>
      <c r="B10" cm="1">
        <f t="array" ref="B10">SUMPRODUCT((tblStudents[Registration Date]&lt;&gt;"")*(TEXT(tblStudents[Registration Date],"mmmm")=$A10))</f>
        <v>0</v>
      </c>
      <c r="C10" s="5" cm="1">
        <f t="array" ref="C10">SUMPRODUCT((tblPayments[Payment Date]&lt;&gt;"")*(TEXT(tblPayments[Payment Date],"mmmm")=$A10)*N(tblPayments[Amount Paid]))</f>
        <v>0</v>
      </c>
      <c r="E10" s="6">
        <f>IF(INDEX('Attendance Register'!$H$3:$BZ$3,1,ROW()-3)=0,"",INDEX('Attendance Register'!$H$3:$BZ$3,1,ROW()-3))</f>
        <v>46246</v>
      </c>
      <c r="F10" s="16" t="str">
        <f>IFERROR(AVERAGE(INDEX('Attendance Register'!$H$4:$BZ$500,0,ROW()-3)),"")</f>
        <v/>
      </c>
    </row>
    <row r="11" spans="1:6" x14ac:dyDescent="0.25">
      <c r="A11" t="s">
        <v>25</v>
      </c>
      <c r="B11" cm="1">
        <f t="array" ref="B11">SUMPRODUCT((tblStudents[Registration Date]&lt;&gt;"")*(TEXT(tblStudents[Registration Date],"mmmm")=$A11))</f>
        <v>0</v>
      </c>
      <c r="C11" s="5" cm="1">
        <f t="array" ref="C11">SUMPRODUCT((tblPayments[Payment Date]&lt;&gt;"")*(TEXT(tblPayments[Payment Date],"mmmm")=$A11)*N(tblPayments[Amount Paid]))</f>
        <v>0</v>
      </c>
      <c r="E11" s="6">
        <f>IF(INDEX('Attendance Register'!$H$3:$BZ$3,1,ROW()-3)=0,"",INDEX('Attendance Register'!$H$3:$BZ$3,1,ROW()-3))</f>
        <v>46247</v>
      </c>
      <c r="F11" s="16" t="str">
        <f>IFERROR(AVERAGE(INDEX('Attendance Register'!$H$4:$BZ$500,0,ROW()-3)),"")</f>
        <v/>
      </c>
    </row>
    <row r="12" spans="1:6" x14ac:dyDescent="0.25">
      <c r="A12" t="s">
        <v>26</v>
      </c>
      <c r="B12" cm="1">
        <f t="array" ref="B12">SUMPRODUCT((tblStudents[Registration Date]&lt;&gt;"")*(TEXT(tblStudents[Registration Date],"mmmm")=$A12))</f>
        <v>0</v>
      </c>
      <c r="C12" s="5" cm="1">
        <f t="array" ref="C12">SUMPRODUCT((tblPayments[Payment Date]&lt;&gt;"")*(TEXT(tblPayments[Payment Date],"mmmm")=$A12)*N(tblPayments[Amount Paid]))</f>
        <v>0</v>
      </c>
      <c r="E12" s="6">
        <f>IF(INDEX('Attendance Register'!$H$3:$BZ$3,1,ROW()-3)=0,"",INDEX('Attendance Register'!$H$3:$BZ$3,1,ROW()-3))</f>
        <v>46251</v>
      </c>
      <c r="F12" s="16" t="str">
        <f>IFERROR(AVERAGE(INDEX('Attendance Register'!$H$4:$BZ$500,0,ROW()-3)),"")</f>
        <v/>
      </c>
    </row>
    <row r="13" spans="1:6" x14ac:dyDescent="0.25">
      <c r="A13" t="s">
        <v>27</v>
      </c>
      <c r="B13" cm="1">
        <f t="array" ref="B13">SUMPRODUCT((tblStudents[Registration Date]&lt;&gt;"")*(TEXT(tblStudents[Registration Date],"mmmm")=$A13))</f>
        <v>0</v>
      </c>
      <c r="C13" s="5" cm="1">
        <f t="array" ref="C13">SUMPRODUCT((tblPayments[Payment Date]&lt;&gt;"")*(TEXT(tblPayments[Payment Date],"mmmm")=$A13)*N(tblPayments[Amount Paid]))</f>
        <v>0</v>
      </c>
      <c r="E13" s="6">
        <f>IF(INDEX('Attendance Register'!$H$3:$BZ$3,1,ROW()-3)=0,"",INDEX('Attendance Register'!$H$3:$BZ$3,1,ROW()-3))</f>
        <v>46252</v>
      </c>
      <c r="F13" s="16" t="str">
        <f>IFERROR(AVERAGE(INDEX('Attendance Register'!$H$4:$BZ$500,0,ROW()-3)),"")</f>
        <v/>
      </c>
    </row>
    <row r="14" spans="1:6" x14ac:dyDescent="0.25">
      <c r="A14" t="s">
        <v>28</v>
      </c>
      <c r="B14" cm="1">
        <f t="array" ref="B14">SUMPRODUCT((tblStudents[Registration Date]&lt;&gt;"")*(TEXT(tblStudents[Registration Date],"mmmm")=$A14))</f>
        <v>0</v>
      </c>
      <c r="C14" s="5" cm="1">
        <f t="array" ref="C14">SUMPRODUCT((tblPayments[Payment Date]&lt;&gt;"")*(TEXT(tblPayments[Payment Date],"mmmm")=$A14)*N(tblPayments[Amount Paid]))</f>
        <v>0</v>
      </c>
      <c r="E14" s="6">
        <f>IF(INDEX('Attendance Register'!$H$3:$BZ$3,1,ROW()-3)=0,"",INDEX('Attendance Register'!$H$3:$BZ$3,1,ROW()-3))</f>
        <v>46253</v>
      </c>
      <c r="F14" s="16" t="str">
        <f>IFERROR(AVERAGE(INDEX('Attendance Register'!$H$4:$BZ$500,0,ROW()-3)),"")</f>
        <v/>
      </c>
    </row>
    <row r="15" spans="1:6" x14ac:dyDescent="0.25">
      <c r="A15" t="s">
        <v>29</v>
      </c>
      <c r="B15" cm="1">
        <f t="array" ref="B15">SUMPRODUCT((tblStudents[Registration Date]&lt;&gt;"")*(TEXT(tblStudents[Registration Date],"mmmm")=$A15))</f>
        <v>0</v>
      </c>
      <c r="C15" s="5" cm="1">
        <f t="array" ref="C15">SUMPRODUCT((tblPayments[Payment Date]&lt;&gt;"")*(TEXT(tblPayments[Payment Date],"mmmm")=$A15)*N(tblPayments[Amount Paid]))</f>
        <v>0</v>
      </c>
      <c r="E15" s="6">
        <f>IF(INDEX('Attendance Register'!$H$3:$BZ$3,1,ROW()-3)=0,"",INDEX('Attendance Register'!$H$3:$BZ$3,1,ROW()-3))</f>
        <v>46254</v>
      </c>
      <c r="F15" s="16" t="str">
        <f>IFERROR(AVERAGE(INDEX('Attendance Register'!$H$4:$BZ$500,0,ROW()-3)),"")</f>
        <v/>
      </c>
    </row>
    <row r="16" spans="1:6" x14ac:dyDescent="0.25">
      <c r="E16" s="6">
        <f>IF(INDEX('Attendance Register'!$H$3:$BZ$3,1,ROW()-3)=0,"",INDEX('Attendance Register'!$H$3:$BZ$3,1,ROW()-3))</f>
        <v>46258</v>
      </c>
      <c r="F16" s="16" t="str">
        <f>IFERROR(AVERAGE(INDEX('Attendance Register'!$H$4:$BZ$500,0,ROW()-3)),"")</f>
        <v/>
      </c>
    </row>
    <row r="17" spans="5:6" x14ac:dyDescent="0.25">
      <c r="E17" s="6">
        <f>IF(INDEX('Attendance Register'!$H$3:$BZ$3,1,ROW()-3)=0,"",INDEX('Attendance Register'!$H$3:$BZ$3,1,ROW()-3))</f>
        <v>46259</v>
      </c>
      <c r="F17" s="16" t="str">
        <f>IFERROR(AVERAGE(INDEX('Attendance Register'!$H$4:$BZ$500,0,ROW()-3)),"")</f>
        <v/>
      </c>
    </row>
    <row r="18" spans="5:6" x14ac:dyDescent="0.25">
      <c r="E18" s="6">
        <f>IF(INDEX('Attendance Register'!$H$3:$BZ$3,1,ROW()-3)=0,"",INDEX('Attendance Register'!$H$3:$BZ$3,1,ROW()-3))</f>
        <v>46260</v>
      </c>
      <c r="F18" s="16" t="str">
        <f>IFERROR(AVERAGE(INDEX('Attendance Register'!$H$4:$BZ$500,0,ROW()-3)),"")</f>
        <v/>
      </c>
    </row>
    <row r="19" spans="5:6" x14ac:dyDescent="0.25">
      <c r="E19" s="6">
        <f>IF(INDEX('Attendance Register'!$H$3:$BZ$3,1,ROW()-3)=0,"",INDEX('Attendance Register'!$H$3:$BZ$3,1,ROW()-3))</f>
        <v>46261</v>
      </c>
      <c r="F19" s="16" t="str">
        <f>IFERROR(AVERAGE(INDEX('Attendance Register'!$H$4:$BZ$500,0,ROW()-3)),"")</f>
        <v/>
      </c>
    </row>
    <row r="20" spans="5:6" x14ac:dyDescent="0.25">
      <c r="E20" s="6">
        <f>IF(INDEX('Attendance Register'!$H$3:$BZ$3,1,ROW()-3)=0,"",INDEX('Attendance Register'!$H$3:$BZ$3,1,ROW()-3))</f>
        <v>46265</v>
      </c>
      <c r="F20" s="16" t="str">
        <f>IFERROR(AVERAGE(INDEX('Attendance Register'!$H$4:$BZ$500,0,ROW()-3)),"")</f>
        <v/>
      </c>
    </row>
    <row r="21" spans="5:6" x14ac:dyDescent="0.25">
      <c r="E21" s="6" t="str">
        <f>IF(INDEX('Attendance Register'!$H$3:$BZ$3,1,ROW()-3)=0,"",INDEX('Attendance Register'!$H$3:$BZ$3,1,ROW()-3))</f>
        <v/>
      </c>
      <c r="F21" s="16" t="str">
        <f>IFERROR(AVERAGE(INDEX('Attendance Register'!$H$4:$BZ$500,0,ROW()-3)),"")</f>
        <v/>
      </c>
    </row>
    <row r="22" spans="5:6" x14ac:dyDescent="0.25">
      <c r="E22" s="6" t="str">
        <f>IF(INDEX('Attendance Register'!$H$3:$BZ$3,1,ROW()-3)=0,"",INDEX('Attendance Register'!$H$3:$BZ$3,1,ROW()-3))</f>
        <v/>
      </c>
      <c r="F22" s="16" t="str">
        <f>IFERROR(AVERAGE(INDEX('Attendance Register'!$H$4:$BZ$500,0,ROW()-3)),"")</f>
        <v/>
      </c>
    </row>
    <row r="23" spans="5:6" x14ac:dyDescent="0.25">
      <c r="E23" s="6" t="str">
        <f>IF(INDEX('Attendance Register'!$H$3:$BZ$3,1,ROW()-3)=0,"",INDEX('Attendance Register'!$H$3:$BZ$3,1,ROW()-3))</f>
        <v/>
      </c>
      <c r="F23" s="16" t="str">
        <f>IFERROR(AVERAGE(INDEX('Attendance Register'!$H$4:$BZ$500,0,ROW()-3)),"")</f>
        <v/>
      </c>
    </row>
    <row r="24" spans="5:6" x14ac:dyDescent="0.25">
      <c r="E24" s="6" t="str">
        <f>IF(INDEX('Attendance Register'!$H$3:$BZ$3,1,ROW()-3)=0,"",INDEX('Attendance Register'!$H$3:$BZ$3,1,ROW()-3))</f>
        <v/>
      </c>
      <c r="F24" s="16" t="str">
        <f>IFERROR(AVERAGE(INDEX('Attendance Register'!$H$4:$BZ$500,0,ROW()-3)),"")</f>
        <v/>
      </c>
    </row>
    <row r="25" spans="5:6" x14ac:dyDescent="0.25">
      <c r="E25" s="6" t="str">
        <f>IF(INDEX('Attendance Register'!$H$3:$BZ$3,1,ROW()-3)=0,"",INDEX('Attendance Register'!$H$3:$BZ$3,1,ROW()-3))</f>
        <v/>
      </c>
      <c r="F25" s="16" t="str">
        <f>IFERROR(AVERAGE(INDEX('Attendance Register'!$H$4:$BZ$500,0,ROW()-3)),"")</f>
        <v/>
      </c>
    </row>
    <row r="26" spans="5:6" x14ac:dyDescent="0.25">
      <c r="E26" s="6" t="str">
        <f>IF(INDEX('Attendance Register'!$H$3:$BZ$3,1,ROW()-3)=0,"",INDEX('Attendance Register'!$H$3:$BZ$3,1,ROW()-3))</f>
        <v/>
      </c>
      <c r="F26" s="16" t="str">
        <f>IFERROR(AVERAGE(INDEX('Attendance Register'!$H$4:$BZ$500,0,ROW()-3)),"")</f>
        <v/>
      </c>
    </row>
    <row r="27" spans="5:6" x14ac:dyDescent="0.25">
      <c r="E27" s="6" t="str">
        <f>IF(INDEX('Attendance Register'!$H$3:$BZ$3,1,ROW()-3)=0,"",INDEX('Attendance Register'!$H$3:$BZ$3,1,ROW()-3))</f>
        <v/>
      </c>
      <c r="F27" s="16" t="str">
        <f>IFERROR(AVERAGE(INDEX('Attendance Register'!$H$4:$BZ$500,0,ROW()-3)),"")</f>
        <v/>
      </c>
    </row>
    <row r="28" spans="5:6" x14ac:dyDescent="0.25">
      <c r="E28" s="6" t="str">
        <f>IF(INDEX('Attendance Register'!$H$3:$BZ$3,1,ROW()-3)=0,"",INDEX('Attendance Register'!$H$3:$BZ$3,1,ROW()-3))</f>
        <v/>
      </c>
      <c r="F28" s="16" t="str">
        <f>IFERROR(AVERAGE(INDEX('Attendance Register'!$H$4:$BZ$500,0,ROW()-3)),"")</f>
        <v/>
      </c>
    </row>
    <row r="29" spans="5:6" x14ac:dyDescent="0.25">
      <c r="E29" s="6" t="str">
        <f>IF(INDEX('Attendance Register'!$H$3:$BZ$3,1,ROW()-3)=0,"",INDEX('Attendance Register'!$H$3:$BZ$3,1,ROW()-3))</f>
        <v/>
      </c>
      <c r="F29" s="16" t="str">
        <f>IFERROR(AVERAGE(INDEX('Attendance Register'!$H$4:$BZ$500,0,ROW()-3)),"")</f>
        <v/>
      </c>
    </row>
    <row r="30" spans="5:6" x14ac:dyDescent="0.25">
      <c r="E30" s="6" t="str">
        <f>IF(INDEX('Attendance Register'!$H$3:$BZ$3,1,ROW()-3)=0,"",INDEX('Attendance Register'!$H$3:$BZ$3,1,ROW()-3))</f>
        <v/>
      </c>
      <c r="F30" s="16" t="str">
        <f>IFERROR(AVERAGE(INDEX('Attendance Register'!$H$4:$BZ$500,0,ROW()-3)),"")</f>
        <v/>
      </c>
    </row>
    <row r="31" spans="5:6" x14ac:dyDescent="0.25">
      <c r="E31" s="6" t="str">
        <f>IF(INDEX('Attendance Register'!$H$3:$BZ$3,1,ROW()-3)=0,"",INDEX('Attendance Register'!$H$3:$BZ$3,1,ROW()-3))</f>
        <v/>
      </c>
      <c r="F31" s="16" t="str">
        <f>IFERROR(AVERAGE(INDEX('Attendance Register'!$H$4:$BZ$500,0,ROW()-3)),"")</f>
        <v/>
      </c>
    </row>
    <row r="32" spans="5:6" x14ac:dyDescent="0.25">
      <c r="E32" s="6" t="str">
        <f>IF(INDEX('Attendance Register'!$H$3:$BZ$3,1,ROW()-3)=0,"",INDEX('Attendance Register'!$H$3:$BZ$3,1,ROW()-3))</f>
        <v/>
      </c>
      <c r="F32" s="16" t="str">
        <f>IFERROR(AVERAGE(INDEX('Attendance Register'!$H$4:$BZ$500,0,ROW()-3)),"")</f>
        <v/>
      </c>
    </row>
    <row r="33" spans="5:6" x14ac:dyDescent="0.25">
      <c r="E33" s="6" t="str">
        <f>IF(INDEX('Attendance Register'!$H$3:$BZ$3,1,ROW()-3)=0,"",INDEX('Attendance Register'!$H$3:$BZ$3,1,ROW()-3))</f>
        <v/>
      </c>
      <c r="F33" s="16" t="str">
        <f>IFERROR(AVERAGE(INDEX('Attendance Register'!$H$4:$BZ$500,0,ROW()-3)),"")</f>
        <v/>
      </c>
    </row>
    <row r="34" spans="5:6" x14ac:dyDescent="0.25">
      <c r="E34" s="6" t="str">
        <f>IF(INDEX('Attendance Register'!$H$3:$BZ$3,1,ROW()-3)=0,"",INDEX('Attendance Register'!$H$3:$BZ$3,1,ROW()-3))</f>
        <v/>
      </c>
      <c r="F34" s="16" t="str">
        <f>IFERROR(AVERAGE(INDEX('Attendance Register'!$H$4:$BZ$500,0,ROW()-3)),"")</f>
        <v/>
      </c>
    </row>
    <row r="35" spans="5:6" x14ac:dyDescent="0.25">
      <c r="E35" s="6" t="str">
        <f>IF(INDEX('Attendance Register'!$H$3:$BZ$3,1,ROW()-3)=0,"",INDEX('Attendance Register'!$H$3:$BZ$3,1,ROW()-3))</f>
        <v/>
      </c>
      <c r="F35" s="16" t="str">
        <f>IFERROR(AVERAGE(INDEX('Attendance Register'!$H$4:$BZ$500,0,ROW()-3)),"")</f>
        <v/>
      </c>
    </row>
    <row r="36" spans="5:6" x14ac:dyDescent="0.25">
      <c r="E36" s="6" t="str">
        <f>IF(INDEX('Attendance Register'!$H$3:$BZ$3,1,ROW()-3)=0,"",INDEX('Attendance Register'!$H$3:$BZ$3,1,ROW()-3))</f>
        <v/>
      </c>
      <c r="F36" s="16" t="str">
        <f>IFERROR(AVERAGE(INDEX('Attendance Register'!$H$4:$BZ$500,0,ROW()-3)),"")</f>
        <v/>
      </c>
    </row>
    <row r="37" spans="5:6" x14ac:dyDescent="0.25">
      <c r="E37" s="6" t="str">
        <f>IF(INDEX('Attendance Register'!$H$3:$BZ$3,1,ROW()-3)=0,"",INDEX('Attendance Register'!$H$3:$BZ$3,1,ROW()-3))</f>
        <v/>
      </c>
      <c r="F37" s="16" t="str">
        <f>IFERROR(AVERAGE(INDEX('Attendance Register'!$H$4:$BZ$500,0,ROW()-3)),"")</f>
        <v/>
      </c>
    </row>
    <row r="38" spans="5:6" x14ac:dyDescent="0.25">
      <c r="E38" s="6" t="str">
        <f>IF(INDEX('Attendance Register'!$H$3:$BZ$3,1,ROW()-3)=0,"",INDEX('Attendance Register'!$H$3:$BZ$3,1,ROW()-3))</f>
        <v/>
      </c>
      <c r="F38" s="16" t="str">
        <f>IFERROR(AVERAGE(INDEX('Attendance Register'!$H$4:$BZ$500,0,ROW()-3)),"")</f>
        <v/>
      </c>
    </row>
    <row r="39" spans="5:6" x14ac:dyDescent="0.25">
      <c r="E39" s="6" t="str">
        <f>IF(INDEX('Attendance Register'!$H$3:$BZ$3,1,ROW()-3)=0,"",INDEX('Attendance Register'!$H$3:$BZ$3,1,ROW()-3))</f>
        <v/>
      </c>
      <c r="F39" s="16" t="str">
        <f>IFERROR(AVERAGE(INDEX('Attendance Register'!$H$4:$BZ$500,0,ROW()-3)),"")</f>
        <v/>
      </c>
    </row>
    <row r="40" spans="5:6" x14ac:dyDescent="0.25">
      <c r="E40" s="6" t="str">
        <f>IF(INDEX('Attendance Register'!$H$3:$BZ$3,1,ROW()-3)=0,"",INDEX('Attendance Register'!$H$3:$BZ$3,1,ROW()-3))</f>
        <v/>
      </c>
      <c r="F40" s="16" t="str">
        <f>IFERROR(AVERAGE(INDEX('Attendance Register'!$H$4:$BZ$500,0,ROW()-3)),"")</f>
        <v/>
      </c>
    </row>
    <row r="41" spans="5:6" x14ac:dyDescent="0.25">
      <c r="E41" s="6" t="str">
        <f>IF(INDEX('Attendance Register'!$H$3:$BZ$3,1,ROW()-3)=0,"",INDEX('Attendance Register'!$H$3:$BZ$3,1,ROW()-3))</f>
        <v/>
      </c>
      <c r="F41" s="16" t="str">
        <f>IFERROR(AVERAGE(INDEX('Attendance Register'!$H$4:$BZ$500,0,ROW()-3)),"")</f>
        <v/>
      </c>
    </row>
    <row r="42" spans="5:6" x14ac:dyDescent="0.25">
      <c r="E42" s="6" t="str">
        <f>IF(INDEX('Attendance Register'!$H$3:$BZ$3,1,ROW()-3)=0,"",INDEX('Attendance Register'!$H$3:$BZ$3,1,ROW()-3))</f>
        <v/>
      </c>
      <c r="F42" s="16" t="str">
        <f>IFERROR(AVERAGE(INDEX('Attendance Register'!$H$4:$BZ$500,0,ROW()-3)),"")</f>
        <v/>
      </c>
    </row>
    <row r="43" spans="5:6" x14ac:dyDescent="0.25">
      <c r="E43" s="6" t="str">
        <f>IF(INDEX('Attendance Register'!$H$3:$BZ$3,1,ROW()-3)=0,"",INDEX('Attendance Register'!$H$3:$BZ$3,1,ROW()-3))</f>
        <v/>
      </c>
      <c r="F43" s="16" t="str">
        <f>IFERROR(AVERAGE(INDEX('Attendance Register'!$H$4:$BZ$500,0,ROW()-3)),"")</f>
        <v/>
      </c>
    </row>
    <row r="44" spans="5:6" x14ac:dyDescent="0.25">
      <c r="E44" s="6" t="str">
        <f>IF(INDEX('Attendance Register'!$H$3:$BZ$3,1,ROW()-3)=0,"",INDEX('Attendance Register'!$H$3:$BZ$3,1,ROW()-3))</f>
        <v/>
      </c>
      <c r="F44" s="16" t="str">
        <f>IFERROR(AVERAGE(INDEX('Attendance Register'!$H$4:$BZ$500,0,ROW()-3)),"")</f>
        <v/>
      </c>
    </row>
    <row r="45" spans="5:6" x14ac:dyDescent="0.25">
      <c r="E45" s="6" t="str">
        <f>IF(INDEX('Attendance Register'!$H$3:$BZ$3,1,ROW()-3)=0,"",INDEX('Attendance Register'!$H$3:$BZ$3,1,ROW()-3))</f>
        <v/>
      </c>
      <c r="F45" s="16" t="str">
        <f>IFERROR(AVERAGE(INDEX('Attendance Register'!$H$4:$BZ$500,0,ROW()-3)),"")</f>
        <v/>
      </c>
    </row>
    <row r="46" spans="5:6" x14ac:dyDescent="0.25">
      <c r="E46" s="6" t="str">
        <f>IF(INDEX('Attendance Register'!$H$3:$BZ$3,1,ROW()-3)=0,"",INDEX('Attendance Register'!$H$3:$BZ$3,1,ROW()-3))</f>
        <v/>
      </c>
      <c r="F46" s="16" t="str">
        <f>IFERROR(AVERAGE(INDEX('Attendance Register'!$H$4:$BZ$500,0,ROW()-3)),"")</f>
        <v/>
      </c>
    </row>
    <row r="47" spans="5:6" x14ac:dyDescent="0.25">
      <c r="E47" s="6" t="str">
        <f>IF(INDEX('Attendance Register'!$H$3:$BZ$3,1,ROW()-3)=0,"",INDEX('Attendance Register'!$H$3:$BZ$3,1,ROW()-3))</f>
        <v/>
      </c>
      <c r="F47" s="16" t="str">
        <f>IFERROR(AVERAGE(INDEX('Attendance Register'!$H$4:$BZ$500,0,ROW()-3)),"")</f>
        <v/>
      </c>
    </row>
    <row r="48" spans="5:6" x14ac:dyDescent="0.25">
      <c r="E48" s="6" t="str">
        <f>IF(INDEX('Attendance Register'!$H$3:$BZ$3,1,ROW()-3)=0,"",INDEX('Attendance Register'!$H$3:$BZ$3,1,ROW()-3))</f>
        <v/>
      </c>
      <c r="F48" s="16" t="str">
        <f>IFERROR(AVERAGE(INDEX('Attendance Register'!$H$4:$BZ$500,0,ROW()-3)),"")</f>
        <v/>
      </c>
    </row>
    <row r="49" spans="5:6" x14ac:dyDescent="0.25">
      <c r="E49" s="6" t="str">
        <f>IF(INDEX('Attendance Register'!$H$3:$BZ$3,1,ROW()-3)=0,"",INDEX('Attendance Register'!$H$3:$BZ$3,1,ROW()-3))</f>
        <v/>
      </c>
      <c r="F49" s="16" t="str">
        <f>IFERROR(AVERAGE(INDEX('Attendance Register'!$H$4:$BZ$500,0,ROW()-3)),"")</f>
        <v/>
      </c>
    </row>
    <row r="50" spans="5:6" x14ac:dyDescent="0.25">
      <c r="E50" s="6" t="str">
        <f>IF(INDEX('Attendance Register'!$H$3:$BZ$3,1,ROW()-3)=0,"",INDEX('Attendance Register'!$H$3:$BZ$3,1,ROW()-3))</f>
        <v/>
      </c>
      <c r="F50" s="16" t="str">
        <f>IFERROR(AVERAGE(INDEX('Attendance Register'!$H$4:$BZ$500,0,ROW()-3)),"")</f>
        <v/>
      </c>
    </row>
    <row r="51" spans="5:6" x14ac:dyDescent="0.25">
      <c r="E51" s="6" t="str">
        <f>IF(INDEX('Attendance Register'!$H$3:$BZ$3,1,ROW()-3)=0,"",INDEX('Attendance Register'!$H$3:$BZ$3,1,ROW()-3))</f>
        <v/>
      </c>
      <c r="F51" s="16" t="str">
        <f>IFERROR(AVERAGE(INDEX('Attendance Register'!$H$4:$BZ$500,0,ROW()-3)),"")</f>
        <v/>
      </c>
    </row>
    <row r="52" spans="5:6" x14ac:dyDescent="0.25">
      <c r="E52" s="6" t="str">
        <f>IF(INDEX('Attendance Register'!$H$3:$BZ$3,1,ROW()-3)=0,"",INDEX('Attendance Register'!$H$3:$BZ$3,1,ROW()-3))</f>
        <v/>
      </c>
      <c r="F52" s="16" t="str">
        <f>IFERROR(AVERAGE(INDEX('Attendance Register'!$H$4:$BZ$500,0,ROW()-3)),"")</f>
        <v/>
      </c>
    </row>
    <row r="53" spans="5:6" x14ac:dyDescent="0.25">
      <c r="E53" s="6" t="str">
        <f>IF(INDEX('Attendance Register'!$H$3:$BZ$3,1,ROW()-3)=0,"",INDEX('Attendance Register'!$H$3:$BZ$3,1,ROW()-3))</f>
        <v/>
      </c>
      <c r="F53" s="16" t="str">
        <f>IFERROR(AVERAGE(INDEX('Attendance Register'!$H$4:$BZ$500,0,ROW()-3)),"")</f>
        <v/>
      </c>
    </row>
    <row r="54" spans="5:6" x14ac:dyDescent="0.25">
      <c r="E54" s="6" t="str">
        <f>IF(INDEX('Attendance Register'!$H$3:$BZ$3,1,ROW()-3)=0,"",INDEX('Attendance Register'!$H$3:$BZ$3,1,ROW()-3))</f>
        <v/>
      </c>
      <c r="F54" s="16" t="str">
        <f>IFERROR(AVERAGE(INDEX('Attendance Register'!$H$4:$BZ$500,0,ROW()-3)),"")</f>
        <v/>
      </c>
    </row>
    <row r="55" spans="5:6" x14ac:dyDescent="0.25">
      <c r="E55" s="6" t="str">
        <f>IF(INDEX('Attendance Register'!$H$3:$BZ$3,1,ROW()-3)=0,"",INDEX('Attendance Register'!$H$3:$BZ$3,1,ROW()-3))</f>
        <v/>
      </c>
      <c r="F55" s="16" t="str">
        <f>IFERROR(AVERAGE(INDEX('Attendance Register'!$H$4:$BZ$500,0,ROW()-3)),"")</f>
        <v/>
      </c>
    </row>
    <row r="56" spans="5:6" x14ac:dyDescent="0.25">
      <c r="E56" s="6" t="str">
        <f>IF(INDEX('Attendance Register'!$H$3:$BZ$3,1,ROW()-3)=0,"",INDEX('Attendance Register'!$H$3:$BZ$3,1,ROW()-3))</f>
        <v/>
      </c>
      <c r="F56" s="16" t="str">
        <f>IFERROR(AVERAGE(INDEX('Attendance Register'!$H$4:$BZ$500,0,ROW()-3)),"")</f>
        <v/>
      </c>
    </row>
    <row r="57" spans="5:6" x14ac:dyDescent="0.25">
      <c r="E57" s="6" t="str">
        <f>IF(INDEX('Attendance Register'!$H$3:$BZ$3,1,ROW()-3)=0,"",INDEX('Attendance Register'!$H$3:$BZ$3,1,ROW()-3))</f>
        <v/>
      </c>
      <c r="F57" s="16" t="str">
        <f>IFERROR(AVERAGE(INDEX('Attendance Register'!$H$4:$BZ$500,0,ROW()-3)),"")</f>
        <v/>
      </c>
    </row>
    <row r="58" spans="5:6" x14ac:dyDescent="0.25">
      <c r="E58" s="6" t="str">
        <f>IF(INDEX('Attendance Register'!$H$3:$BZ$3,1,ROW()-3)=0,"",INDEX('Attendance Register'!$H$3:$BZ$3,1,ROW()-3))</f>
        <v/>
      </c>
      <c r="F58" s="16" t="str">
        <f>IFERROR(AVERAGE(INDEX('Attendance Register'!$H$4:$BZ$500,0,ROW()-3)),"")</f>
        <v/>
      </c>
    </row>
    <row r="59" spans="5:6" x14ac:dyDescent="0.25">
      <c r="E59" s="6" t="str">
        <f>IF(INDEX('Attendance Register'!$H$3:$BZ$3,1,ROW()-3)=0,"",INDEX('Attendance Register'!$H$3:$BZ$3,1,ROW()-3))</f>
        <v/>
      </c>
      <c r="F59" s="16" t="str">
        <f>IFERROR(AVERAGE(INDEX('Attendance Register'!$H$4:$BZ$500,0,ROW()-3)),"")</f>
        <v/>
      </c>
    </row>
    <row r="60" spans="5:6" x14ac:dyDescent="0.25">
      <c r="E60" s="6" t="str">
        <f>IF(INDEX('Attendance Register'!$H$3:$BZ$3,1,ROW()-3)=0,"",INDEX('Attendance Register'!$H$3:$BZ$3,1,ROW()-3))</f>
        <v/>
      </c>
      <c r="F60" s="16" t="str">
        <f>IFERROR(AVERAGE(INDEX('Attendance Register'!$H$4:$BZ$500,0,ROW()-3)),"")</f>
        <v/>
      </c>
    </row>
    <row r="61" spans="5:6" x14ac:dyDescent="0.25">
      <c r="E61" s="6" t="str">
        <f>IF(INDEX('Attendance Register'!$H$3:$BZ$3,1,ROW()-3)=0,"",INDEX('Attendance Register'!$H$3:$BZ$3,1,ROW()-3))</f>
        <v/>
      </c>
      <c r="F61" s="16" t="str">
        <f>IFERROR(AVERAGE(INDEX('Attendance Register'!$H$4:$BZ$500,0,ROW()-3)),"")</f>
        <v/>
      </c>
    </row>
    <row r="62" spans="5:6" x14ac:dyDescent="0.25">
      <c r="E62" s="6" t="str">
        <f>IF(INDEX('Attendance Register'!$H$3:$BZ$3,1,ROW()-3)=0,"",INDEX('Attendance Register'!$H$3:$BZ$3,1,ROW()-3))</f>
        <v/>
      </c>
      <c r="F62" s="16" t="str">
        <f>IFERROR(AVERAGE(INDEX('Attendance Register'!$H$4:$BZ$500,0,ROW()-3)),"")</f>
        <v/>
      </c>
    </row>
    <row r="63" spans="5:6" x14ac:dyDescent="0.25">
      <c r="E63" s="6" t="str">
        <f>IF(INDEX('Attendance Register'!$H$3:$BZ$3,1,ROW()-3)=0,"",INDEX('Attendance Register'!$H$3:$BZ$3,1,ROW()-3))</f>
        <v/>
      </c>
      <c r="F63" s="16" t="str">
        <f>IFERROR(AVERAGE(INDEX('Attendance Register'!$H$4:$BZ$500,0,ROW()-3)),"")</f>
        <v/>
      </c>
    </row>
    <row r="64" spans="5:6" x14ac:dyDescent="0.25">
      <c r="E64" s="6" t="str">
        <f>IF(INDEX('Attendance Register'!$H$3:$BZ$3,1,ROW()-3)=0,"",INDEX('Attendance Register'!$H$3:$BZ$3,1,ROW()-3))</f>
        <v/>
      </c>
      <c r="F64" s="16" t="str">
        <f>IFERROR(AVERAGE(INDEX('Attendance Register'!$H$4:$BZ$500,0,ROW()-3)),"")</f>
        <v/>
      </c>
    </row>
    <row r="65" spans="5:6" x14ac:dyDescent="0.25">
      <c r="E65" s="6" t="str">
        <f>IF(INDEX('Attendance Register'!$H$3:$BZ$3,1,ROW()-3)=0,"",INDEX('Attendance Register'!$H$3:$BZ$3,1,ROW()-3))</f>
        <v/>
      </c>
      <c r="F65" s="16" t="str">
        <f>IFERROR(AVERAGE(INDEX('Attendance Register'!$H$4:$BZ$500,0,ROW()-3)),"")</f>
        <v/>
      </c>
    </row>
    <row r="66" spans="5:6" x14ac:dyDescent="0.25">
      <c r="E66" s="6" t="str">
        <f>IF(INDEX('Attendance Register'!$H$3:$BZ$3,1,ROW()-3)=0,"",INDEX('Attendance Register'!$H$3:$BZ$3,1,ROW()-3))</f>
        <v/>
      </c>
      <c r="F66" s="16" t="str">
        <f>IFERROR(AVERAGE(INDEX('Attendance Register'!$H$4:$BZ$500,0,ROW()-3)),"")</f>
        <v/>
      </c>
    </row>
    <row r="67" spans="5:6" x14ac:dyDescent="0.25">
      <c r="E67" s="6" t="str">
        <f>IF(INDEX('Attendance Register'!$H$3:$BZ$3,1,ROW()-3)=0,"",INDEX('Attendance Register'!$H$3:$BZ$3,1,ROW()-3))</f>
        <v/>
      </c>
      <c r="F67" s="16" t="str">
        <f>IFERROR(AVERAGE(INDEX('Attendance Register'!$H$4:$BZ$500,0,ROW()-3)),"")</f>
        <v/>
      </c>
    </row>
    <row r="68" spans="5:6" x14ac:dyDescent="0.25">
      <c r="E68" s="6" t="str">
        <f>IF(INDEX('Attendance Register'!$H$3:$BZ$3,1,ROW()-3)=0,"",INDEX('Attendance Register'!$H$3:$BZ$3,1,ROW()-3))</f>
        <v/>
      </c>
      <c r="F68" s="16" t="str">
        <f>IFERROR(AVERAGE(INDEX('Attendance Register'!$H$4:$BZ$500,0,ROW()-3)),"")</f>
        <v/>
      </c>
    </row>
    <row r="69" spans="5:6" x14ac:dyDescent="0.25">
      <c r="E69" s="6" t="str">
        <f>IF(INDEX('Attendance Register'!$H$3:$BZ$3,1,ROW()-3)=0,"",INDEX('Attendance Register'!$H$3:$BZ$3,1,ROW()-3))</f>
        <v/>
      </c>
      <c r="F69" s="16" t="str">
        <f>IFERROR(AVERAGE(INDEX('Attendance Register'!$H$4:$BZ$500,0,ROW()-3)),"")</f>
        <v/>
      </c>
    </row>
    <row r="70" spans="5:6" x14ac:dyDescent="0.25">
      <c r="E70" s="6" t="str">
        <f>IF(INDEX('Attendance Register'!$H$3:$BZ$3,1,ROW()-3)=0,"",INDEX('Attendance Register'!$H$3:$BZ$3,1,ROW()-3))</f>
        <v/>
      </c>
      <c r="F70" s="16" t="str">
        <f>IFERROR(AVERAGE(INDEX('Attendance Register'!$H$4:$BZ$500,0,ROW()-3)),"")</f>
        <v/>
      </c>
    </row>
    <row r="71" spans="5:6" x14ac:dyDescent="0.25">
      <c r="E71" s="6" t="str">
        <f>IF(INDEX('Attendance Register'!$H$3:$BZ$3,1,ROW()-3)=0,"",INDEX('Attendance Register'!$H$3:$BZ$3,1,ROW()-3))</f>
        <v/>
      </c>
      <c r="F71" s="16" t="str">
        <f>IFERROR(AVERAGE(INDEX('Attendance Register'!$H$4:$BZ$500,0,ROW()-3)),"")</f>
        <v/>
      </c>
    </row>
    <row r="72" spans="5:6" x14ac:dyDescent="0.25">
      <c r="E72" s="6" t="str">
        <f>IF(INDEX('Attendance Register'!$H$3:$BZ$3,1,ROW()-3)=0,"",INDEX('Attendance Register'!$H$3:$BZ$3,1,ROW()-3))</f>
        <v/>
      </c>
      <c r="F72" s="16" t="str">
        <f>IFERROR(AVERAGE(INDEX('Attendance Register'!$H$4:$BZ$500,0,ROW()-3)),"")</f>
        <v/>
      </c>
    </row>
    <row r="73" spans="5:6" x14ac:dyDescent="0.25">
      <c r="E73" s="6" t="str">
        <f>IF(INDEX('Attendance Register'!$H$3:$BZ$3,1,ROW()-3)=0,"",INDEX('Attendance Register'!$H$3:$BZ$3,1,ROW()-3))</f>
        <v/>
      </c>
      <c r="F73" s="16" t="str">
        <f>IFERROR(AVERAGE(INDEX('Attendance Register'!$H$4:$BZ$500,0,ROW()-3)),"")</f>
        <v/>
      </c>
    </row>
    <row r="74" spans="5:6" x14ac:dyDescent="0.25">
      <c r="E74" s="6" t="str">
        <f>IF(INDEX('Attendance Register'!$H$3:$BZ$3,1,ROW()-3)=0,"",INDEX('Attendance Register'!$H$3:$BZ$3,1,ROW()-3))</f>
        <v/>
      </c>
      <c r="F74" s="16" t="str">
        <f>IFERROR(AVERAGE(INDEX('Attendance Register'!$H$4:$BZ$500,0,ROW()-3)),"")</f>
        <v/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E7D32"/>
  </sheetPr>
  <dimension ref="B2:C20"/>
  <sheetViews>
    <sheetView showGridLines="0" workbookViewId="0">
      <selection activeCell="C16" sqref="C16"/>
    </sheetView>
  </sheetViews>
  <sheetFormatPr defaultRowHeight="15" x14ac:dyDescent="0.25"/>
  <cols>
    <col min="1" max="1" width="3" customWidth="1"/>
    <col min="2" max="2" width="22" customWidth="1"/>
    <col min="3" max="3" width="30" customWidth="1"/>
    <col min="4" max="4" width="3" customWidth="1"/>
  </cols>
  <sheetData>
    <row r="2" spans="2:3" ht="27.95" customHeight="1" x14ac:dyDescent="0.25">
      <c r="B2" s="43" t="s">
        <v>30</v>
      </c>
      <c r="C2" s="38"/>
    </row>
    <row r="4" spans="2:3" x14ac:dyDescent="0.25">
      <c r="B4" s="7" t="s">
        <v>31</v>
      </c>
      <c r="C4" s="22"/>
    </row>
    <row r="6" spans="2:3" x14ac:dyDescent="0.25">
      <c r="B6" s="7" t="s">
        <v>32</v>
      </c>
      <c r="C6" s="8"/>
    </row>
    <row r="8" spans="2:3" x14ac:dyDescent="0.25">
      <c r="B8" s="7" t="s">
        <v>33</v>
      </c>
      <c r="C8" s="19"/>
    </row>
    <row r="10" spans="2:3" x14ac:dyDescent="0.25">
      <c r="B10" s="7" t="s">
        <v>34</v>
      </c>
      <c r="C10" s="28"/>
    </row>
    <row r="12" spans="2:3" x14ac:dyDescent="0.25">
      <c r="B12" s="7" t="s">
        <v>35</v>
      </c>
      <c r="C12" s="23"/>
    </row>
    <row r="14" spans="2:3" x14ac:dyDescent="0.25">
      <c r="B14" s="7" t="s">
        <v>36</v>
      </c>
      <c r="C14" s="8"/>
    </row>
    <row r="16" spans="2:3" x14ac:dyDescent="0.25">
      <c r="B16" s="7" t="s">
        <v>37</v>
      </c>
      <c r="C16" s="22"/>
    </row>
    <row r="19" spans="2:3" x14ac:dyDescent="0.25">
      <c r="B19" s="41"/>
      <c r="C19" s="41"/>
    </row>
    <row r="20" spans="2:3" x14ac:dyDescent="0.25">
      <c r="B20" s="42"/>
      <c r="C20" s="42"/>
    </row>
  </sheetData>
  <mergeCells count="3">
    <mergeCell ref="B19:B20"/>
    <mergeCell ref="B2:C2"/>
    <mergeCell ref="C19:C20"/>
  </mergeCells>
  <dataValidations count="4">
    <dataValidation type="list" allowBlank="1" sqref="C6" xr:uid="{00000000-0002-0000-0200-000000000000}">
      <formula1>"Male,Female"</formula1>
    </dataValidation>
    <dataValidation type="whole" allowBlank="1" showErrorMessage="1" errorTitle="Invalid Age" error="Enter an age between 2 and 25." sqref="C8" xr:uid="{00000000-0002-0000-0200-000001000000}">
      <formula1>2</formula1>
      <formula2>25</formula2>
    </dataValidation>
    <dataValidation type="textLength" allowBlank="1" showErrorMessage="1" errorTitle="Invalid Phone Number" error="Phone number must be between 7 and 15 characters." sqref="C12" xr:uid="{00000000-0002-0000-0200-000002000000}">
      <formula1>7</formula1>
      <formula2>15</formula2>
    </dataValidation>
    <dataValidation type="list" allowBlank="1" sqref="C14" xr:uid="{00000000-0002-0000-0200-000003000000}">
      <formula1>ClassList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2E7D32"/>
  </sheetPr>
  <dimension ref="A1:L4"/>
  <sheetViews>
    <sheetView showGridLines="0" workbookViewId="0">
      <pane ySplit="3" topLeftCell="A4" activePane="bottomLeft" state="frozen"/>
      <selection pane="bottomLeft" activeCell="I13" sqref="I13"/>
    </sheetView>
  </sheetViews>
  <sheetFormatPr defaultRowHeight="15" x14ac:dyDescent="0.25"/>
  <cols>
    <col min="1" max="1" width="9.7109375" customWidth="1"/>
    <col min="2" max="2" width="20" customWidth="1"/>
    <col min="3" max="3" width="10.42578125" customWidth="1"/>
    <col min="4" max="4" width="9.28515625" customWidth="1"/>
    <col min="5" max="5" width="18" customWidth="1"/>
    <col min="6" max="6" width="19.85546875" style="21" customWidth="1"/>
    <col min="7" max="7" width="28.7109375" customWidth="1"/>
    <col min="8" max="8" width="11.28515625" customWidth="1"/>
    <col min="9" max="9" width="22.85546875" customWidth="1"/>
    <col min="10" max="10" width="17.7109375" customWidth="1"/>
    <col min="11" max="11" width="28" customWidth="1"/>
    <col min="12" max="12" width="0.140625" hidden="1" customWidth="1"/>
  </cols>
  <sheetData>
    <row r="1" spans="1:12" ht="27.95" customHeight="1" x14ac:dyDescent="0.25">
      <c r="A1" s="44" t="s">
        <v>38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3" spans="1:12" ht="29.25" customHeight="1" x14ac:dyDescent="0.25">
      <c r="A3" s="4" t="s">
        <v>39</v>
      </c>
      <c r="B3" s="4" t="s">
        <v>31</v>
      </c>
      <c r="C3" s="4" t="s">
        <v>32</v>
      </c>
      <c r="D3" s="4" t="s">
        <v>33</v>
      </c>
      <c r="E3" s="4" t="s">
        <v>34</v>
      </c>
      <c r="F3" s="20" t="s">
        <v>35</v>
      </c>
      <c r="G3" s="4" t="s">
        <v>37</v>
      </c>
      <c r="H3" s="4" t="s">
        <v>36</v>
      </c>
      <c r="I3" s="4" t="s">
        <v>40</v>
      </c>
      <c r="J3" s="4" t="s">
        <v>41</v>
      </c>
      <c r="K3" s="4" t="s">
        <v>42</v>
      </c>
      <c r="L3" s="4" t="s">
        <v>43</v>
      </c>
    </row>
    <row r="4" spans="1:12" ht="16.5" customHeight="1" x14ac:dyDescent="0.25">
      <c r="A4" s="24"/>
      <c r="B4" s="24"/>
      <c r="C4" s="24"/>
      <c r="D4" s="24"/>
      <c r="E4" s="24"/>
      <c r="F4" s="25"/>
      <c r="G4" s="24"/>
      <c r="H4" s="24"/>
      <c r="I4" s="26"/>
      <c r="J4" s="27">
        <f>IFERROR(INDEX(Settings!$B$4:$B$16,MATCH($H4,Settings!$A$4:$A$16,0)),0)</f>
        <v>0</v>
      </c>
      <c r="K4" s="24"/>
      <c r="L4" t="str">
        <f>IF($A4="","",$A4&amp;"-"&amp;UPPER($B4))</f>
        <v/>
      </c>
    </row>
  </sheetData>
  <mergeCells count="1">
    <mergeCell ref="A1:L1"/>
  </mergeCells>
  <dataValidations count="3">
    <dataValidation type="list" allowBlank="1" sqref="C4" xr:uid="{00000000-0002-0000-0300-000000000000}">
      <formula1>"Male,Female"</formula1>
    </dataValidation>
    <dataValidation type="list" allowBlank="1" sqref="H4" xr:uid="{00000000-0002-0000-0300-000001000000}">
      <formula1>ClassList</formula1>
    </dataValidation>
    <dataValidation type="list" allowBlank="1" sqref="K4" xr:uid="{00000000-0002-0000-0300-000002000000}">
      <formula1>"Active,Inactive"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62828"/>
  </sheetPr>
  <dimension ref="B2:C16"/>
  <sheetViews>
    <sheetView showGridLines="0" workbookViewId="0">
      <selection activeCell="C12" sqref="C12"/>
    </sheetView>
  </sheetViews>
  <sheetFormatPr defaultRowHeight="15" x14ac:dyDescent="0.25"/>
  <cols>
    <col min="1" max="1" width="3" customWidth="1"/>
    <col min="2" max="2" width="20" customWidth="1"/>
    <col min="3" max="3" width="30" customWidth="1"/>
  </cols>
  <sheetData>
    <row r="2" spans="2:3" ht="27.95" customHeight="1" x14ac:dyDescent="0.25">
      <c r="B2" s="43" t="s">
        <v>44</v>
      </c>
      <c r="C2" s="38"/>
    </row>
    <row r="4" spans="2:3" x14ac:dyDescent="0.25">
      <c r="B4" s="7" t="s">
        <v>39</v>
      </c>
      <c r="C4" s="8"/>
    </row>
    <row r="6" spans="2:3" x14ac:dyDescent="0.25">
      <c r="B6" s="7" t="s">
        <v>31</v>
      </c>
      <c r="C6" s="9" t="str">
        <f>IFERROR(INDEX(tblStudents[Student Name],MATCH(LEFT(C4,FIND("-",C4)-1),tblStudents[Student ID],0)),"")</f>
        <v/>
      </c>
    </row>
    <row r="8" spans="2:3" x14ac:dyDescent="0.25">
      <c r="B8" s="7" t="s">
        <v>36</v>
      </c>
      <c r="C8" s="9" t="str">
        <f>IFERROR(INDEX(tblStudents[Class],MATCH(LEFT(C4,FIND("-",C4)-1),tblStudents[Student ID],0)),"")</f>
        <v/>
      </c>
    </row>
    <row r="10" spans="2:3" x14ac:dyDescent="0.25">
      <c r="B10" s="7" t="s">
        <v>45</v>
      </c>
      <c r="C10" s="30">
        <f>IFERROR(INDEX(tblStudents[Tuition Fee],MATCH(LEFT(C4,FIND("-",C4)-1),tblStudents[Student ID],0)),0)</f>
        <v>0</v>
      </c>
    </row>
    <row r="12" spans="2:3" x14ac:dyDescent="0.25">
      <c r="B12" s="7" t="s">
        <v>46</v>
      </c>
      <c r="C12" s="31"/>
    </row>
    <row r="15" spans="2:3" x14ac:dyDescent="0.25">
      <c r="B15" s="41"/>
    </row>
    <row r="16" spans="2:3" x14ac:dyDescent="0.25">
      <c r="B16" s="42"/>
    </row>
  </sheetData>
  <mergeCells count="2">
    <mergeCell ref="B2:C2"/>
    <mergeCell ref="B15:B16"/>
  </mergeCells>
  <dataValidations count="1">
    <dataValidation type="list" allowBlank="1" sqref="C4" xr:uid="{00000000-0002-0000-0400-000000000000}">
      <formula1>StudentLookupList</formula1>
    </dataValidation>
  </dataValidation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C62828"/>
  </sheetPr>
  <dimension ref="A1:I4"/>
  <sheetViews>
    <sheetView showGridLines="0" workbookViewId="0">
      <pane ySplit="3" topLeftCell="A4" activePane="bottomLeft" state="frozen"/>
      <selection pane="bottomLeft" activeCell="I11" sqref="I11"/>
    </sheetView>
  </sheetViews>
  <sheetFormatPr defaultRowHeight="15" x14ac:dyDescent="0.25"/>
  <cols>
    <col min="1" max="1" width="12" customWidth="1"/>
    <col min="2" max="2" width="20" customWidth="1"/>
    <col min="3" max="3" width="13" customWidth="1"/>
    <col min="4" max="4" width="16.5703125" customWidth="1"/>
    <col min="5" max="5" width="12.140625" customWidth="1"/>
    <col min="6" max="6" width="16.42578125" customWidth="1"/>
    <col min="7" max="7" width="12" customWidth="1"/>
    <col min="8" max="8" width="15.28515625" customWidth="1"/>
    <col min="9" max="9" width="21.28515625" customWidth="1"/>
  </cols>
  <sheetData>
    <row r="1" spans="1:9" ht="27.95" customHeight="1" x14ac:dyDescent="0.25">
      <c r="A1" s="40" t="s">
        <v>47</v>
      </c>
      <c r="B1" s="38"/>
      <c r="C1" s="38"/>
      <c r="D1" s="38"/>
      <c r="E1" s="38"/>
      <c r="F1" s="38"/>
      <c r="G1" s="38"/>
      <c r="H1" s="38"/>
      <c r="I1" s="38"/>
    </row>
    <row r="3" spans="1:9" ht="30" x14ac:dyDescent="0.25">
      <c r="A3" s="4" t="s">
        <v>39</v>
      </c>
      <c r="B3" s="4" t="s">
        <v>31</v>
      </c>
      <c r="C3" s="4" t="s">
        <v>36</v>
      </c>
      <c r="D3" s="4" t="s">
        <v>45</v>
      </c>
      <c r="E3" s="4" t="s">
        <v>14</v>
      </c>
      <c r="F3" s="4" t="s">
        <v>48</v>
      </c>
      <c r="G3" s="4" t="s">
        <v>46</v>
      </c>
      <c r="H3" s="4" t="s">
        <v>49</v>
      </c>
      <c r="I3" s="4" t="s">
        <v>50</v>
      </c>
    </row>
    <row r="4" spans="1:9" x14ac:dyDescent="0.25">
      <c r="B4" t="str">
        <f>IFERROR(INDEX(tblStudents[Student Name],MATCH($A4,tblStudents[Student ID],0)),"")</f>
        <v/>
      </c>
      <c r="C4" t="str">
        <f>IFERROR(INDEX(tblStudents[Class],MATCH($A4,tblStudents[Student ID],0)),"")</f>
        <v/>
      </c>
      <c r="D4" s="29">
        <f>IFERROR(INDEX(tblStudents[Tuition Fee],MATCH($A4,tblStudents[Student ID],0)),0)</f>
        <v>0</v>
      </c>
      <c r="F4" s="17"/>
      <c r="G4" s="32"/>
      <c r="H4" s="29">
        <f>$D4-N($G4)</f>
        <v>0</v>
      </c>
      <c r="I4" s="33" t="str">
        <f>IF($A4="","",IF(N($G4)=0,"Unpaid",IF($H4&lt;=0,"Paid","Partial")))</f>
        <v/>
      </c>
    </row>
  </sheetData>
  <mergeCells count="1">
    <mergeCell ref="A1:I1"/>
  </mergeCells>
  <conditionalFormatting sqref="A4:I4">
    <cfRule type="expression" dxfId="9" priority="1">
      <formula>$I4="Partial"</formula>
    </cfRule>
    <cfRule type="expression" dxfId="8" priority="2">
      <formula>$I4="Paid"</formula>
    </cfRule>
    <cfRule type="expression" dxfId="7" priority="3">
      <formula>$I4="Unpaid"</formula>
    </cfRule>
  </conditionalFormatting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6A1B9A"/>
  </sheetPr>
  <dimension ref="B2:C19"/>
  <sheetViews>
    <sheetView showGridLines="0" workbookViewId="0">
      <selection activeCell="C12" sqref="C12"/>
    </sheetView>
  </sheetViews>
  <sheetFormatPr defaultRowHeight="15" x14ac:dyDescent="0.25"/>
  <cols>
    <col min="1" max="1" width="3" customWidth="1"/>
    <col min="2" max="2" width="20" customWidth="1"/>
    <col min="3" max="3" width="30" customWidth="1"/>
  </cols>
  <sheetData>
    <row r="2" spans="2:3" ht="27.95" customHeight="1" x14ac:dyDescent="0.25">
      <c r="B2" s="43" t="s">
        <v>51</v>
      </c>
      <c r="C2" s="38"/>
    </row>
    <row r="4" spans="2:3" x14ac:dyDescent="0.25">
      <c r="B4" s="7" t="s">
        <v>52</v>
      </c>
      <c r="C4" s="18">
        <v>46237</v>
      </c>
    </row>
    <row r="6" spans="2:3" x14ac:dyDescent="0.25">
      <c r="B6" s="7" t="s">
        <v>39</v>
      </c>
      <c r="C6" s="8"/>
    </row>
    <row r="8" spans="2:3" x14ac:dyDescent="0.25">
      <c r="B8" s="7" t="s">
        <v>31</v>
      </c>
      <c r="C8" s="9" t="str">
        <f>IFERROR(INDEX(tblStudents[Student Name],MATCH(LEFT(C6,FIND("-",C6)-1),tblStudents[Student ID],0)),"")</f>
        <v/>
      </c>
    </row>
    <row r="10" spans="2:3" x14ac:dyDescent="0.25">
      <c r="B10" s="7" t="s">
        <v>36</v>
      </c>
      <c r="C10" s="9" t="str">
        <f>IFERROR(INDEX(tblStudents[Class],MATCH(LEFT(C6,FIND("-",C6)-1),tblStudents[Student ID],0)),"")</f>
        <v/>
      </c>
    </row>
    <row r="12" spans="2:3" x14ac:dyDescent="0.25">
      <c r="B12" s="7" t="s">
        <v>53</v>
      </c>
      <c r="C12" s="8"/>
    </row>
    <row r="15" spans="2:3" x14ac:dyDescent="0.25">
      <c r="B15" s="41"/>
    </row>
    <row r="16" spans="2:3" x14ac:dyDescent="0.25">
      <c r="B16" s="42"/>
    </row>
    <row r="18" spans="2:3" x14ac:dyDescent="0.25">
      <c r="B18" s="41"/>
      <c r="C18" s="42"/>
    </row>
    <row r="19" spans="2:3" x14ac:dyDescent="0.25">
      <c r="B19" s="42"/>
      <c r="C19" s="42"/>
    </row>
  </sheetData>
  <mergeCells count="3">
    <mergeCell ref="B18:C19"/>
    <mergeCell ref="B2:C2"/>
    <mergeCell ref="B15:B16"/>
  </mergeCells>
  <dataValidations count="2">
    <dataValidation type="list" allowBlank="1" sqref="C6" xr:uid="{00000000-0002-0000-0600-000001000000}">
      <formula1>StudentLookupList</formula1>
    </dataValidation>
    <dataValidation type="list" allowBlank="1" sqref="C12" xr:uid="{00000000-0002-0000-0600-000002000000}">
      <formula1>"Present,Absent"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0000000}">
          <x14:formula1>
            <xm:f>'Attendance Register'!$H$3:$BZ$3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6A1B9A"/>
  </sheetPr>
  <dimension ref="A1:BZ500"/>
  <sheetViews>
    <sheetView showGridLines="0" workbookViewId="0">
      <pane xSplit="7" ySplit="3" topLeftCell="H4" activePane="bottomRight" state="frozen"/>
      <selection pane="topRight"/>
      <selection pane="bottomLeft"/>
      <selection pane="bottomRight" activeCell="K18" sqref="K18"/>
    </sheetView>
  </sheetViews>
  <sheetFormatPr defaultRowHeight="15" x14ac:dyDescent="0.25"/>
  <cols>
    <col min="1" max="1" width="12" customWidth="1"/>
    <col min="2" max="2" width="20" customWidth="1"/>
    <col min="3" max="4" width="9" customWidth="1"/>
    <col min="5" max="5" width="10.28515625" customWidth="1"/>
    <col min="6" max="6" width="13" customWidth="1"/>
    <col min="7" max="7" width="14.140625" customWidth="1"/>
    <col min="8" max="78" width="7" customWidth="1"/>
  </cols>
  <sheetData>
    <row r="1" spans="1:78" ht="27.95" customHeight="1" x14ac:dyDescent="0.25">
      <c r="A1" s="40" t="s">
        <v>54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</row>
    <row r="3" spans="1:78" ht="30" x14ac:dyDescent="0.25">
      <c r="A3" s="4" t="s">
        <v>39</v>
      </c>
      <c r="B3" s="4" t="s">
        <v>31</v>
      </c>
      <c r="C3" s="4" t="s">
        <v>36</v>
      </c>
      <c r="D3" s="4" t="s">
        <v>55</v>
      </c>
      <c r="E3" s="4" t="s">
        <v>56</v>
      </c>
      <c r="F3" s="4" t="s">
        <v>57</v>
      </c>
      <c r="G3" s="4" t="s">
        <v>58</v>
      </c>
      <c r="H3" s="11">
        <v>46237</v>
      </c>
      <c r="I3" s="11">
        <v>46238</v>
      </c>
      <c r="J3" s="11">
        <v>46239</v>
      </c>
      <c r="K3" s="11">
        <v>46240</v>
      </c>
      <c r="L3" s="11">
        <v>46244</v>
      </c>
      <c r="M3" s="11">
        <v>46245</v>
      </c>
      <c r="N3" s="11">
        <v>46246</v>
      </c>
      <c r="O3" s="11">
        <v>46247</v>
      </c>
      <c r="P3" s="11">
        <v>46251</v>
      </c>
      <c r="Q3" s="11">
        <v>46252</v>
      </c>
      <c r="R3" s="11">
        <v>46253</v>
      </c>
      <c r="S3" s="11">
        <v>46254</v>
      </c>
      <c r="T3" s="11">
        <v>46258</v>
      </c>
      <c r="U3" s="11">
        <v>46259</v>
      </c>
      <c r="V3" s="11">
        <v>46260</v>
      </c>
      <c r="W3" s="11">
        <v>46261</v>
      </c>
      <c r="X3" s="11">
        <v>46265</v>
      </c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</row>
    <row r="4" spans="1:78" x14ac:dyDescent="0.25">
      <c r="D4">
        <f>COUNTIF(H4:BZ4,1)</f>
        <v>0</v>
      </c>
      <c r="E4">
        <f>COUNTIF(H4:BZ4,0)</f>
        <v>0</v>
      </c>
      <c r="F4">
        <f>COUNTA(H4:BZ4)</f>
        <v>0</v>
      </c>
      <c r="G4" s="16">
        <f>IFERROR(D4/F4,0)</f>
        <v>0</v>
      </c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</row>
    <row r="5" spans="1:78" x14ac:dyDescent="0.25"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</row>
    <row r="6" spans="1:78" x14ac:dyDescent="0.25"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</row>
    <row r="7" spans="1:78" x14ac:dyDescent="0.25"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</row>
    <row r="8" spans="1:78" x14ac:dyDescent="0.25"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</row>
    <row r="9" spans="1:78" x14ac:dyDescent="0.25"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</row>
    <row r="10" spans="1:78" x14ac:dyDescent="0.25"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</row>
    <row r="11" spans="1:78" x14ac:dyDescent="0.25"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</row>
    <row r="12" spans="1:78" x14ac:dyDescent="0.25"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</row>
    <row r="13" spans="1:78" x14ac:dyDescent="0.25"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</row>
    <row r="14" spans="1:78" x14ac:dyDescent="0.25"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</row>
    <row r="15" spans="1:78" x14ac:dyDescent="0.25"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</row>
    <row r="16" spans="1:78" x14ac:dyDescent="0.25"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</row>
    <row r="17" spans="8:78" x14ac:dyDescent="0.25"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</row>
    <row r="18" spans="8:78" x14ac:dyDescent="0.25"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</row>
    <row r="19" spans="8:78" x14ac:dyDescent="0.25"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</row>
    <row r="20" spans="8:78" x14ac:dyDescent="0.25"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</row>
    <row r="21" spans="8:78" x14ac:dyDescent="0.25"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</row>
    <row r="22" spans="8:78" x14ac:dyDescent="0.25"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</row>
    <row r="23" spans="8:78" x14ac:dyDescent="0.25"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</row>
    <row r="24" spans="8:78" x14ac:dyDescent="0.25"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</row>
    <row r="25" spans="8:78" x14ac:dyDescent="0.25"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</row>
    <row r="26" spans="8:78" x14ac:dyDescent="0.25"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</row>
    <row r="27" spans="8:78" x14ac:dyDescent="0.25"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</row>
    <row r="28" spans="8:78" x14ac:dyDescent="0.25"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</row>
    <row r="29" spans="8:78" x14ac:dyDescent="0.25"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</row>
    <row r="30" spans="8:78" x14ac:dyDescent="0.25"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</row>
    <row r="31" spans="8:78" x14ac:dyDescent="0.25"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</row>
    <row r="32" spans="8:78" x14ac:dyDescent="0.25"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</row>
    <row r="33" spans="8:78" x14ac:dyDescent="0.25"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</row>
    <row r="34" spans="8:78" x14ac:dyDescent="0.25"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</row>
    <row r="35" spans="8:78" x14ac:dyDescent="0.25"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</row>
    <row r="36" spans="8:78" x14ac:dyDescent="0.25"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</row>
    <row r="37" spans="8:78" x14ac:dyDescent="0.25"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</row>
    <row r="38" spans="8:78" x14ac:dyDescent="0.25"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</row>
    <row r="39" spans="8:78" x14ac:dyDescent="0.25"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</row>
    <row r="40" spans="8:78" x14ac:dyDescent="0.25"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</row>
    <row r="41" spans="8:78" x14ac:dyDescent="0.25"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</row>
    <row r="42" spans="8:78" x14ac:dyDescent="0.25"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</row>
    <row r="43" spans="8:78" x14ac:dyDescent="0.25"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</row>
    <row r="44" spans="8:78" x14ac:dyDescent="0.25"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</row>
    <row r="45" spans="8:78" x14ac:dyDescent="0.25"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</row>
    <row r="46" spans="8:78" x14ac:dyDescent="0.25"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</row>
    <row r="47" spans="8:78" x14ac:dyDescent="0.25"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</row>
    <row r="48" spans="8:78" x14ac:dyDescent="0.25"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</row>
    <row r="49" spans="8:78" x14ac:dyDescent="0.25"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</row>
    <row r="50" spans="8:78" x14ac:dyDescent="0.25"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</row>
    <row r="51" spans="8:78" x14ac:dyDescent="0.25"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</row>
    <row r="52" spans="8:78" x14ac:dyDescent="0.25"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</row>
    <row r="53" spans="8:78" x14ac:dyDescent="0.25"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</row>
    <row r="54" spans="8:78" x14ac:dyDescent="0.25"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</row>
    <row r="55" spans="8:78" x14ac:dyDescent="0.25"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</row>
    <row r="56" spans="8:78" x14ac:dyDescent="0.25"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</row>
    <row r="57" spans="8:78" x14ac:dyDescent="0.25"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</row>
    <row r="58" spans="8:78" x14ac:dyDescent="0.25"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</row>
    <row r="59" spans="8:78" x14ac:dyDescent="0.25"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</row>
    <row r="60" spans="8:78" x14ac:dyDescent="0.25"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</row>
    <row r="61" spans="8:78" x14ac:dyDescent="0.25"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</row>
    <row r="62" spans="8:78" x14ac:dyDescent="0.25"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</row>
    <row r="63" spans="8:78" x14ac:dyDescent="0.25"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</row>
    <row r="64" spans="8:78" x14ac:dyDescent="0.25"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</row>
    <row r="65" spans="8:78" x14ac:dyDescent="0.25"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</row>
    <row r="66" spans="8:78" x14ac:dyDescent="0.25"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</row>
    <row r="67" spans="8:78" x14ac:dyDescent="0.25"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</row>
    <row r="68" spans="8:78" x14ac:dyDescent="0.25"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</row>
    <row r="69" spans="8:78" x14ac:dyDescent="0.25"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</row>
    <row r="70" spans="8:78" x14ac:dyDescent="0.25"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</row>
    <row r="71" spans="8:78" x14ac:dyDescent="0.25"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</row>
    <row r="72" spans="8:78" x14ac:dyDescent="0.25"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</row>
    <row r="73" spans="8:78" x14ac:dyDescent="0.25"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</row>
    <row r="74" spans="8:78" x14ac:dyDescent="0.25"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</row>
    <row r="75" spans="8:78" x14ac:dyDescent="0.25"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</row>
    <row r="76" spans="8:78" x14ac:dyDescent="0.25"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</row>
    <row r="77" spans="8:78" x14ac:dyDescent="0.25"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</row>
    <row r="78" spans="8:78" x14ac:dyDescent="0.25"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</row>
    <row r="79" spans="8:78" x14ac:dyDescent="0.25"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</row>
    <row r="80" spans="8:78" x14ac:dyDescent="0.25"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</row>
    <row r="81" spans="8:78" x14ac:dyDescent="0.25"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</row>
    <row r="82" spans="8:78" x14ac:dyDescent="0.25"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</row>
    <row r="83" spans="8:78" x14ac:dyDescent="0.25"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</row>
    <row r="84" spans="8:78" x14ac:dyDescent="0.25"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</row>
    <row r="85" spans="8:78" x14ac:dyDescent="0.25"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</row>
    <row r="86" spans="8:78" x14ac:dyDescent="0.25"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</row>
    <row r="87" spans="8:78" x14ac:dyDescent="0.25"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</row>
    <row r="88" spans="8:78" x14ac:dyDescent="0.25"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</row>
    <row r="89" spans="8:78" x14ac:dyDescent="0.25"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</row>
    <row r="90" spans="8:78" x14ac:dyDescent="0.25"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</row>
    <row r="91" spans="8:78" x14ac:dyDescent="0.25"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</row>
    <row r="92" spans="8:78" x14ac:dyDescent="0.25"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</row>
    <row r="93" spans="8:78" x14ac:dyDescent="0.25"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</row>
    <row r="94" spans="8:78" x14ac:dyDescent="0.25"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</row>
    <row r="95" spans="8:78" x14ac:dyDescent="0.25"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</row>
    <row r="96" spans="8:78" x14ac:dyDescent="0.25"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</row>
    <row r="97" spans="8:78" x14ac:dyDescent="0.25"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</row>
    <row r="98" spans="8:78" x14ac:dyDescent="0.25"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</row>
    <row r="99" spans="8:78" x14ac:dyDescent="0.25"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</row>
    <row r="100" spans="8:78" x14ac:dyDescent="0.25"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</row>
    <row r="101" spans="8:78" x14ac:dyDescent="0.25"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</row>
    <row r="102" spans="8:78" x14ac:dyDescent="0.25"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</row>
    <row r="103" spans="8:78" x14ac:dyDescent="0.25"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</row>
    <row r="104" spans="8:78" x14ac:dyDescent="0.25"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</row>
    <row r="105" spans="8:78" x14ac:dyDescent="0.25"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</row>
    <row r="106" spans="8:78" x14ac:dyDescent="0.25"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</row>
    <row r="107" spans="8:78" x14ac:dyDescent="0.25"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</row>
    <row r="108" spans="8:78" x14ac:dyDescent="0.25"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</row>
    <row r="109" spans="8:78" x14ac:dyDescent="0.25"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</row>
    <row r="110" spans="8:78" x14ac:dyDescent="0.25"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</row>
    <row r="111" spans="8:78" x14ac:dyDescent="0.25"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</row>
    <row r="112" spans="8:78" x14ac:dyDescent="0.25"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</row>
    <row r="113" spans="8:78" x14ac:dyDescent="0.25"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</row>
    <row r="114" spans="8:78" x14ac:dyDescent="0.25"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</row>
    <row r="115" spans="8:78" x14ac:dyDescent="0.25"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</row>
    <row r="116" spans="8:78" x14ac:dyDescent="0.25"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</row>
    <row r="117" spans="8:78" x14ac:dyDescent="0.25"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</row>
    <row r="118" spans="8:78" x14ac:dyDescent="0.25"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</row>
    <row r="119" spans="8:78" x14ac:dyDescent="0.25"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</row>
    <row r="120" spans="8:78" x14ac:dyDescent="0.25"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</row>
    <row r="121" spans="8:78" x14ac:dyDescent="0.25"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</row>
    <row r="122" spans="8:78" x14ac:dyDescent="0.25"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</row>
    <row r="123" spans="8:78" x14ac:dyDescent="0.25"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</row>
    <row r="124" spans="8:78" x14ac:dyDescent="0.25"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</row>
    <row r="125" spans="8:78" x14ac:dyDescent="0.25"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</row>
    <row r="126" spans="8:78" x14ac:dyDescent="0.25"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</row>
    <row r="127" spans="8:78" x14ac:dyDescent="0.25"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</row>
    <row r="128" spans="8:78" x14ac:dyDescent="0.25"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</row>
    <row r="129" spans="8:78" x14ac:dyDescent="0.25"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</row>
    <row r="130" spans="8:78" x14ac:dyDescent="0.25"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</row>
    <row r="131" spans="8:78" x14ac:dyDescent="0.25"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</row>
    <row r="132" spans="8:78" x14ac:dyDescent="0.25"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</row>
    <row r="133" spans="8:78" x14ac:dyDescent="0.25"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</row>
    <row r="134" spans="8:78" x14ac:dyDescent="0.25"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</row>
    <row r="135" spans="8:78" x14ac:dyDescent="0.25"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</row>
    <row r="136" spans="8:78" x14ac:dyDescent="0.25"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</row>
    <row r="137" spans="8:78" x14ac:dyDescent="0.25"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</row>
    <row r="138" spans="8:78" x14ac:dyDescent="0.25"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</row>
    <row r="139" spans="8:78" x14ac:dyDescent="0.25"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</row>
    <row r="140" spans="8:78" x14ac:dyDescent="0.25"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</row>
    <row r="141" spans="8:78" x14ac:dyDescent="0.25"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</row>
    <row r="142" spans="8:78" x14ac:dyDescent="0.25"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</row>
    <row r="143" spans="8:78" x14ac:dyDescent="0.25"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</row>
    <row r="144" spans="8:78" x14ac:dyDescent="0.25"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</row>
    <row r="145" spans="8:78" x14ac:dyDescent="0.25"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</row>
    <row r="146" spans="8:78" x14ac:dyDescent="0.25"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</row>
    <row r="147" spans="8:78" x14ac:dyDescent="0.25"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</row>
    <row r="148" spans="8:78" x14ac:dyDescent="0.25"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</row>
    <row r="149" spans="8:78" x14ac:dyDescent="0.25"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</row>
    <row r="150" spans="8:78" x14ac:dyDescent="0.25"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</row>
    <row r="151" spans="8:78" x14ac:dyDescent="0.25"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</row>
    <row r="152" spans="8:78" x14ac:dyDescent="0.25"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</row>
    <row r="153" spans="8:78" x14ac:dyDescent="0.25"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</row>
    <row r="154" spans="8:78" x14ac:dyDescent="0.25"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</row>
    <row r="155" spans="8:78" x14ac:dyDescent="0.25"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</row>
    <row r="156" spans="8:78" x14ac:dyDescent="0.25"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</row>
    <row r="157" spans="8:78" x14ac:dyDescent="0.25"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</row>
    <row r="158" spans="8:78" x14ac:dyDescent="0.25"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</row>
    <row r="159" spans="8:78" x14ac:dyDescent="0.25"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</row>
    <row r="160" spans="8:78" x14ac:dyDescent="0.25"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</row>
    <row r="161" spans="8:78" x14ac:dyDescent="0.25"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</row>
    <row r="162" spans="8:78" x14ac:dyDescent="0.25"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</row>
    <row r="163" spans="8:78" x14ac:dyDescent="0.25"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</row>
    <row r="164" spans="8:78" x14ac:dyDescent="0.25"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</row>
    <row r="165" spans="8:78" x14ac:dyDescent="0.25"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</row>
    <row r="166" spans="8:78" x14ac:dyDescent="0.25"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</row>
    <row r="167" spans="8:78" x14ac:dyDescent="0.25"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</row>
    <row r="168" spans="8:78" x14ac:dyDescent="0.25"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</row>
    <row r="169" spans="8:78" x14ac:dyDescent="0.25"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</row>
    <row r="170" spans="8:78" x14ac:dyDescent="0.25"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</row>
    <row r="171" spans="8:78" x14ac:dyDescent="0.25"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</row>
    <row r="172" spans="8:78" x14ac:dyDescent="0.25"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</row>
    <row r="173" spans="8:78" x14ac:dyDescent="0.25"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</row>
    <row r="174" spans="8:78" x14ac:dyDescent="0.25"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</row>
    <row r="175" spans="8:78" x14ac:dyDescent="0.25"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</row>
    <row r="176" spans="8:78" x14ac:dyDescent="0.25"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</row>
    <row r="177" spans="8:78" x14ac:dyDescent="0.25"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</row>
    <row r="178" spans="8:78" x14ac:dyDescent="0.25"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</row>
    <row r="179" spans="8:78" x14ac:dyDescent="0.25"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</row>
    <row r="180" spans="8:78" x14ac:dyDescent="0.25"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</row>
    <row r="181" spans="8:78" x14ac:dyDescent="0.25"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</row>
    <row r="182" spans="8:78" x14ac:dyDescent="0.25"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</row>
    <row r="183" spans="8:78" x14ac:dyDescent="0.25"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</row>
    <row r="184" spans="8:78" x14ac:dyDescent="0.25"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</row>
    <row r="185" spans="8:78" x14ac:dyDescent="0.25"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</row>
    <row r="186" spans="8:78" x14ac:dyDescent="0.25"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</row>
    <row r="187" spans="8:78" x14ac:dyDescent="0.25"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</row>
    <row r="188" spans="8:78" x14ac:dyDescent="0.25"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</row>
    <row r="189" spans="8:78" x14ac:dyDescent="0.25"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</row>
    <row r="190" spans="8:78" x14ac:dyDescent="0.25"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</row>
    <row r="191" spans="8:78" x14ac:dyDescent="0.25"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</row>
    <row r="192" spans="8:78" x14ac:dyDescent="0.25"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</row>
    <row r="193" spans="8:78" x14ac:dyDescent="0.25"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</row>
    <row r="194" spans="8:78" x14ac:dyDescent="0.25"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</row>
    <row r="195" spans="8:78" x14ac:dyDescent="0.25"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</row>
    <row r="196" spans="8:78" x14ac:dyDescent="0.25"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</row>
    <row r="197" spans="8:78" x14ac:dyDescent="0.25"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</row>
    <row r="198" spans="8:78" x14ac:dyDescent="0.25"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</row>
    <row r="199" spans="8:78" x14ac:dyDescent="0.25"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</row>
    <row r="200" spans="8:78" x14ac:dyDescent="0.25"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</row>
    <row r="201" spans="8:78" x14ac:dyDescent="0.25"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</row>
    <row r="202" spans="8:78" x14ac:dyDescent="0.25"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</row>
    <row r="203" spans="8:78" x14ac:dyDescent="0.25"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</row>
    <row r="204" spans="8:78" x14ac:dyDescent="0.25"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</row>
    <row r="205" spans="8:78" x14ac:dyDescent="0.25"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</row>
    <row r="206" spans="8:78" x14ac:dyDescent="0.25"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</row>
    <row r="207" spans="8:78" x14ac:dyDescent="0.25"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</row>
    <row r="208" spans="8:78" x14ac:dyDescent="0.25"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</row>
    <row r="209" spans="8:78" x14ac:dyDescent="0.25"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</row>
    <row r="210" spans="8:78" x14ac:dyDescent="0.25"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</row>
    <row r="211" spans="8:78" x14ac:dyDescent="0.25"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</row>
    <row r="212" spans="8:78" x14ac:dyDescent="0.25"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</row>
    <row r="213" spans="8:78" x14ac:dyDescent="0.25"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</row>
    <row r="214" spans="8:78" x14ac:dyDescent="0.25"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/>
      <c r="BC214" s="1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</row>
    <row r="215" spans="8:78" x14ac:dyDescent="0.25"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/>
      <c r="BC215" s="1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</row>
    <row r="216" spans="8:78" x14ac:dyDescent="0.25"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</row>
    <row r="217" spans="8:78" x14ac:dyDescent="0.25"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</row>
    <row r="218" spans="8:78" x14ac:dyDescent="0.25"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</row>
    <row r="219" spans="8:78" x14ac:dyDescent="0.25"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</row>
    <row r="220" spans="8:78" x14ac:dyDescent="0.25"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</row>
    <row r="221" spans="8:78" x14ac:dyDescent="0.25"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</row>
    <row r="222" spans="8:78" x14ac:dyDescent="0.25"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</row>
    <row r="223" spans="8:78" x14ac:dyDescent="0.25"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</row>
    <row r="224" spans="8:78" x14ac:dyDescent="0.25"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</row>
    <row r="225" spans="8:78" x14ac:dyDescent="0.25"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</row>
    <row r="226" spans="8:78" x14ac:dyDescent="0.25"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</row>
    <row r="227" spans="8:78" x14ac:dyDescent="0.25"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</row>
    <row r="228" spans="8:78" x14ac:dyDescent="0.25"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</row>
    <row r="229" spans="8:78" x14ac:dyDescent="0.25"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</row>
    <row r="230" spans="8:78" x14ac:dyDescent="0.25"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</row>
    <row r="231" spans="8:78" x14ac:dyDescent="0.25"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</row>
    <row r="232" spans="8:78" x14ac:dyDescent="0.25"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</row>
    <row r="233" spans="8:78" x14ac:dyDescent="0.25"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</row>
    <row r="234" spans="8:78" x14ac:dyDescent="0.25"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</row>
    <row r="235" spans="8:78" x14ac:dyDescent="0.25"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</row>
    <row r="236" spans="8:78" x14ac:dyDescent="0.25"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</row>
    <row r="237" spans="8:78" x14ac:dyDescent="0.25"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</row>
    <row r="238" spans="8:78" x14ac:dyDescent="0.25"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</row>
    <row r="239" spans="8:78" x14ac:dyDescent="0.25"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</row>
    <row r="240" spans="8:78" x14ac:dyDescent="0.25"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  <c r="BW240" s="12"/>
      <c r="BX240" s="12"/>
      <c r="BY240" s="12"/>
      <c r="BZ240" s="12"/>
    </row>
    <row r="241" spans="8:78" x14ac:dyDescent="0.25"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</row>
    <row r="242" spans="8:78" x14ac:dyDescent="0.25"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/>
      <c r="BC242" s="1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  <c r="BW242" s="12"/>
      <c r="BX242" s="12"/>
      <c r="BY242" s="12"/>
      <c r="BZ242" s="12"/>
    </row>
    <row r="243" spans="8:78" x14ac:dyDescent="0.25"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  <c r="BW243" s="12"/>
      <c r="BX243" s="12"/>
      <c r="BY243" s="12"/>
      <c r="BZ243" s="12"/>
    </row>
    <row r="244" spans="8:78" x14ac:dyDescent="0.25"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/>
      <c r="BC244" s="1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  <c r="BW244" s="12"/>
      <c r="BX244" s="12"/>
      <c r="BY244" s="12"/>
      <c r="BZ244" s="12"/>
    </row>
    <row r="245" spans="8:78" x14ac:dyDescent="0.25"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  <c r="BW245" s="12"/>
      <c r="BX245" s="12"/>
      <c r="BY245" s="12"/>
      <c r="BZ245" s="12"/>
    </row>
    <row r="246" spans="8:78" x14ac:dyDescent="0.25"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/>
      <c r="BC246" s="1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  <c r="BW246" s="12"/>
      <c r="BX246" s="12"/>
      <c r="BY246" s="12"/>
      <c r="BZ246" s="12"/>
    </row>
    <row r="247" spans="8:78" x14ac:dyDescent="0.25"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  <c r="BW247" s="12"/>
      <c r="BX247" s="12"/>
      <c r="BY247" s="12"/>
      <c r="BZ247" s="12"/>
    </row>
    <row r="248" spans="8:78" x14ac:dyDescent="0.25"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</row>
    <row r="249" spans="8:78" x14ac:dyDescent="0.25"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</row>
    <row r="250" spans="8:78" x14ac:dyDescent="0.25"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</row>
    <row r="251" spans="8:78" x14ac:dyDescent="0.25"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</row>
    <row r="252" spans="8:78" x14ac:dyDescent="0.25"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  <c r="BW252" s="12"/>
      <c r="BX252" s="12"/>
      <c r="BY252" s="12"/>
      <c r="BZ252" s="12"/>
    </row>
    <row r="253" spans="8:78" x14ac:dyDescent="0.25"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/>
      <c r="BC253" s="1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  <c r="BW253" s="12"/>
      <c r="BX253" s="12"/>
      <c r="BY253" s="12"/>
      <c r="BZ253" s="12"/>
    </row>
    <row r="254" spans="8:78" x14ac:dyDescent="0.25"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</row>
    <row r="255" spans="8:78" x14ac:dyDescent="0.25"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/>
      <c r="BC255" s="1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  <c r="BW255" s="12"/>
      <c r="BX255" s="12"/>
      <c r="BY255" s="12"/>
      <c r="BZ255" s="12"/>
    </row>
    <row r="256" spans="8:78" x14ac:dyDescent="0.25"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  <c r="BW256" s="12"/>
      <c r="BX256" s="12"/>
      <c r="BY256" s="12"/>
      <c r="BZ256" s="12"/>
    </row>
    <row r="257" spans="8:78" x14ac:dyDescent="0.25"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  <c r="BW257" s="12"/>
      <c r="BX257" s="12"/>
      <c r="BY257" s="12"/>
      <c r="BZ257" s="12"/>
    </row>
    <row r="258" spans="8:78" x14ac:dyDescent="0.25"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  <c r="BW258" s="12"/>
      <c r="BX258" s="12"/>
      <c r="BY258" s="12"/>
      <c r="BZ258" s="12"/>
    </row>
    <row r="259" spans="8:78" x14ac:dyDescent="0.25"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  <c r="BW259" s="12"/>
      <c r="BX259" s="12"/>
      <c r="BY259" s="12"/>
      <c r="BZ259" s="12"/>
    </row>
    <row r="260" spans="8:78" x14ac:dyDescent="0.25"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  <c r="BW260" s="12"/>
      <c r="BX260" s="12"/>
      <c r="BY260" s="12"/>
      <c r="BZ260" s="12"/>
    </row>
    <row r="261" spans="8:78" x14ac:dyDescent="0.25"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  <c r="BW261" s="12"/>
      <c r="BX261" s="12"/>
      <c r="BY261" s="12"/>
      <c r="BZ261" s="12"/>
    </row>
    <row r="262" spans="8:78" x14ac:dyDescent="0.25"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  <c r="BW262" s="12"/>
      <c r="BX262" s="12"/>
      <c r="BY262" s="12"/>
      <c r="BZ262" s="12"/>
    </row>
    <row r="263" spans="8:78" x14ac:dyDescent="0.25"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  <c r="BW263" s="12"/>
      <c r="BX263" s="12"/>
      <c r="BY263" s="12"/>
      <c r="BZ263" s="12"/>
    </row>
    <row r="264" spans="8:78" x14ac:dyDescent="0.25"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/>
      <c r="BC264" s="1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  <c r="BW264" s="12"/>
      <c r="BX264" s="12"/>
      <c r="BY264" s="12"/>
      <c r="BZ264" s="12"/>
    </row>
    <row r="265" spans="8:78" x14ac:dyDescent="0.25"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  <c r="BW265" s="12"/>
      <c r="BX265" s="12"/>
      <c r="BY265" s="12"/>
      <c r="BZ265" s="12"/>
    </row>
    <row r="266" spans="8:78" x14ac:dyDescent="0.25"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  <c r="BW266" s="12"/>
      <c r="BX266" s="12"/>
      <c r="BY266" s="12"/>
      <c r="BZ266" s="12"/>
    </row>
    <row r="267" spans="8:78" x14ac:dyDescent="0.25"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/>
      <c r="BC267" s="1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  <c r="BW267" s="12"/>
      <c r="BX267" s="12"/>
      <c r="BY267" s="12"/>
      <c r="BZ267" s="12"/>
    </row>
    <row r="268" spans="8:78" x14ac:dyDescent="0.25"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/>
      <c r="BC268" s="1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  <c r="BW268" s="12"/>
      <c r="BX268" s="12"/>
      <c r="BY268" s="12"/>
      <c r="BZ268" s="12"/>
    </row>
    <row r="269" spans="8:78" x14ac:dyDescent="0.25"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  <c r="BW269" s="12"/>
      <c r="BX269" s="12"/>
      <c r="BY269" s="12"/>
      <c r="BZ269" s="12"/>
    </row>
    <row r="270" spans="8:78" x14ac:dyDescent="0.25"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/>
      <c r="BC270" s="1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  <c r="BW270" s="12"/>
      <c r="BX270" s="12"/>
      <c r="BY270" s="12"/>
      <c r="BZ270" s="12"/>
    </row>
    <row r="271" spans="8:78" x14ac:dyDescent="0.25"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/>
      <c r="BC271" s="1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  <c r="BW271" s="12"/>
      <c r="BX271" s="12"/>
      <c r="BY271" s="12"/>
      <c r="BZ271" s="12"/>
    </row>
    <row r="272" spans="8:78" x14ac:dyDescent="0.25"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  <c r="BW272" s="12"/>
      <c r="BX272" s="12"/>
      <c r="BY272" s="12"/>
      <c r="BZ272" s="12"/>
    </row>
    <row r="273" spans="8:78" x14ac:dyDescent="0.25"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/>
      <c r="BC273" s="1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  <c r="BW273" s="12"/>
      <c r="BX273" s="12"/>
      <c r="BY273" s="12"/>
      <c r="BZ273" s="12"/>
    </row>
    <row r="274" spans="8:78" x14ac:dyDescent="0.25"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  <c r="BW274" s="12"/>
      <c r="BX274" s="12"/>
      <c r="BY274" s="12"/>
      <c r="BZ274" s="12"/>
    </row>
    <row r="275" spans="8:78" x14ac:dyDescent="0.25"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  <c r="BW275" s="12"/>
      <c r="BX275" s="12"/>
      <c r="BY275" s="12"/>
      <c r="BZ275" s="12"/>
    </row>
    <row r="276" spans="8:78" x14ac:dyDescent="0.25"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/>
      <c r="BC276" s="1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  <c r="BW276" s="12"/>
      <c r="BX276" s="12"/>
      <c r="BY276" s="12"/>
      <c r="BZ276" s="12"/>
    </row>
    <row r="277" spans="8:78" x14ac:dyDescent="0.25"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/>
      <c r="BC277" s="1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  <c r="BW277" s="12"/>
      <c r="BX277" s="12"/>
      <c r="BY277" s="12"/>
      <c r="BZ277" s="12"/>
    </row>
    <row r="278" spans="8:78" x14ac:dyDescent="0.25"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  <c r="BW278" s="12"/>
      <c r="BX278" s="12"/>
      <c r="BY278" s="12"/>
      <c r="BZ278" s="12"/>
    </row>
    <row r="279" spans="8:78" x14ac:dyDescent="0.25"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  <c r="BW279" s="12"/>
      <c r="BX279" s="12"/>
      <c r="BY279" s="12"/>
      <c r="BZ279" s="12"/>
    </row>
    <row r="280" spans="8:78" x14ac:dyDescent="0.25"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/>
      <c r="BC280" s="1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  <c r="BW280" s="12"/>
      <c r="BX280" s="12"/>
      <c r="BY280" s="12"/>
      <c r="BZ280" s="12"/>
    </row>
    <row r="281" spans="8:78" x14ac:dyDescent="0.25"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  <c r="BW281" s="12"/>
      <c r="BX281" s="12"/>
      <c r="BY281" s="12"/>
      <c r="BZ281" s="12"/>
    </row>
    <row r="282" spans="8:78" x14ac:dyDescent="0.25"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/>
      <c r="BC282" s="1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  <c r="BW282" s="12"/>
      <c r="BX282" s="12"/>
      <c r="BY282" s="12"/>
      <c r="BZ282" s="12"/>
    </row>
    <row r="283" spans="8:78" x14ac:dyDescent="0.25"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</row>
    <row r="284" spans="8:78" x14ac:dyDescent="0.25"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  <c r="BW284" s="12"/>
      <c r="BX284" s="12"/>
      <c r="BY284" s="12"/>
      <c r="BZ284" s="12"/>
    </row>
    <row r="285" spans="8:78" x14ac:dyDescent="0.25"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  <c r="BW285" s="12"/>
      <c r="BX285" s="12"/>
      <c r="BY285" s="12"/>
      <c r="BZ285" s="12"/>
    </row>
    <row r="286" spans="8:78" x14ac:dyDescent="0.25"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/>
      <c r="BC286" s="1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  <c r="BW286" s="12"/>
      <c r="BX286" s="12"/>
      <c r="BY286" s="12"/>
      <c r="BZ286" s="12"/>
    </row>
    <row r="287" spans="8:78" x14ac:dyDescent="0.25"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  <c r="BW287" s="12"/>
      <c r="BX287" s="12"/>
      <c r="BY287" s="12"/>
      <c r="BZ287" s="12"/>
    </row>
    <row r="288" spans="8:78" x14ac:dyDescent="0.25"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/>
      <c r="BC288" s="1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  <c r="BW288" s="12"/>
      <c r="BX288" s="12"/>
      <c r="BY288" s="12"/>
      <c r="BZ288" s="12"/>
    </row>
    <row r="289" spans="8:78" x14ac:dyDescent="0.25"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/>
      <c r="BC289" s="1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  <c r="BW289" s="12"/>
      <c r="BX289" s="12"/>
      <c r="BY289" s="12"/>
      <c r="BZ289" s="12"/>
    </row>
    <row r="290" spans="8:78" x14ac:dyDescent="0.25"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  <c r="BW290" s="12"/>
      <c r="BX290" s="12"/>
      <c r="BY290" s="12"/>
      <c r="BZ290" s="12"/>
    </row>
    <row r="291" spans="8:78" x14ac:dyDescent="0.25"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  <c r="BW291" s="12"/>
      <c r="BX291" s="12"/>
      <c r="BY291" s="12"/>
      <c r="BZ291" s="12"/>
    </row>
    <row r="292" spans="8:78" x14ac:dyDescent="0.25"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/>
      <c r="BC292" s="1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  <c r="BW292" s="12"/>
      <c r="BX292" s="12"/>
      <c r="BY292" s="12"/>
      <c r="BZ292" s="12"/>
    </row>
    <row r="293" spans="8:78" x14ac:dyDescent="0.25"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  <c r="BW293" s="12"/>
      <c r="BX293" s="12"/>
      <c r="BY293" s="12"/>
      <c r="BZ293" s="12"/>
    </row>
    <row r="294" spans="8:78" x14ac:dyDescent="0.25"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/>
      <c r="BC294" s="1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  <c r="BW294" s="12"/>
      <c r="BX294" s="12"/>
      <c r="BY294" s="12"/>
      <c r="BZ294" s="12"/>
    </row>
    <row r="295" spans="8:78" x14ac:dyDescent="0.25"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  <c r="BW295" s="12"/>
      <c r="BX295" s="12"/>
      <c r="BY295" s="12"/>
      <c r="BZ295" s="12"/>
    </row>
    <row r="296" spans="8:78" x14ac:dyDescent="0.25"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/>
      <c r="BC296" s="1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  <c r="BW296" s="12"/>
      <c r="BX296" s="12"/>
      <c r="BY296" s="12"/>
      <c r="BZ296" s="12"/>
    </row>
    <row r="297" spans="8:78" x14ac:dyDescent="0.25"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/>
      <c r="BC297" s="1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  <c r="BW297" s="12"/>
      <c r="BX297" s="12"/>
      <c r="BY297" s="12"/>
      <c r="BZ297" s="12"/>
    </row>
    <row r="298" spans="8:78" x14ac:dyDescent="0.25"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/>
      <c r="BC298" s="1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  <c r="BW298" s="12"/>
      <c r="BX298" s="12"/>
      <c r="BY298" s="12"/>
      <c r="BZ298" s="12"/>
    </row>
    <row r="299" spans="8:78" x14ac:dyDescent="0.25"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/>
      <c r="BC299" s="1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  <c r="BW299" s="12"/>
      <c r="BX299" s="12"/>
      <c r="BY299" s="12"/>
      <c r="BZ299" s="12"/>
    </row>
    <row r="300" spans="8:78" x14ac:dyDescent="0.25"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/>
      <c r="BC300" s="12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  <c r="BW300" s="12"/>
      <c r="BX300" s="12"/>
      <c r="BY300" s="12"/>
      <c r="BZ300" s="12"/>
    </row>
    <row r="301" spans="8:78" x14ac:dyDescent="0.25"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/>
      <c r="BC301" s="1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  <c r="BW301" s="12"/>
      <c r="BX301" s="12"/>
      <c r="BY301" s="12"/>
      <c r="BZ301" s="12"/>
    </row>
    <row r="302" spans="8:78" x14ac:dyDescent="0.25"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  <c r="BW302" s="12"/>
      <c r="BX302" s="12"/>
      <c r="BY302" s="12"/>
      <c r="BZ302" s="12"/>
    </row>
    <row r="303" spans="8:78" x14ac:dyDescent="0.25"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  <c r="BW303" s="12"/>
      <c r="BX303" s="12"/>
      <c r="BY303" s="12"/>
      <c r="BZ303" s="12"/>
    </row>
    <row r="304" spans="8:78" x14ac:dyDescent="0.25"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/>
      <c r="BC304" s="1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  <c r="BW304" s="12"/>
      <c r="BX304" s="12"/>
      <c r="BY304" s="12"/>
      <c r="BZ304" s="12"/>
    </row>
    <row r="305" spans="8:78" x14ac:dyDescent="0.25"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  <c r="BW305" s="12"/>
      <c r="BX305" s="12"/>
      <c r="BY305" s="12"/>
      <c r="BZ305" s="12"/>
    </row>
    <row r="306" spans="8:78" x14ac:dyDescent="0.25"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/>
      <c r="BC306" s="1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  <c r="BW306" s="12"/>
      <c r="BX306" s="12"/>
      <c r="BY306" s="12"/>
      <c r="BZ306" s="12"/>
    </row>
    <row r="307" spans="8:78" x14ac:dyDescent="0.25"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/>
      <c r="BC307" s="1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  <c r="BW307" s="12"/>
      <c r="BX307" s="12"/>
      <c r="BY307" s="12"/>
      <c r="BZ307" s="12"/>
    </row>
    <row r="308" spans="8:78" x14ac:dyDescent="0.25"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  <c r="BW308" s="12"/>
      <c r="BX308" s="12"/>
      <c r="BY308" s="12"/>
      <c r="BZ308" s="12"/>
    </row>
    <row r="309" spans="8:78" x14ac:dyDescent="0.25"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2"/>
      <c r="BB309" s="12"/>
      <c r="BC309" s="1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  <c r="BW309" s="12"/>
      <c r="BX309" s="12"/>
      <c r="BY309" s="12"/>
      <c r="BZ309" s="12"/>
    </row>
    <row r="310" spans="8:78" x14ac:dyDescent="0.25"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/>
      <c r="BC310" s="1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  <c r="BW310" s="12"/>
      <c r="BX310" s="12"/>
      <c r="BY310" s="12"/>
      <c r="BZ310" s="12"/>
    </row>
    <row r="311" spans="8:78" x14ac:dyDescent="0.25"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  <c r="BW311" s="12"/>
      <c r="BX311" s="12"/>
      <c r="BY311" s="12"/>
      <c r="BZ311" s="12"/>
    </row>
    <row r="312" spans="8:78" x14ac:dyDescent="0.25"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/>
      <c r="BC312" s="1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  <c r="BW312" s="12"/>
      <c r="BX312" s="12"/>
      <c r="BY312" s="12"/>
      <c r="BZ312" s="12"/>
    </row>
    <row r="313" spans="8:78" x14ac:dyDescent="0.25"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  <c r="BW313" s="12"/>
      <c r="BX313" s="12"/>
      <c r="BY313" s="12"/>
      <c r="BZ313" s="12"/>
    </row>
    <row r="314" spans="8:78" x14ac:dyDescent="0.25"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  <c r="BW314" s="12"/>
      <c r="BX314" s="12"/>
      <c r="BY314" s="12"/>
      <c r="BZ314" s="12"/>
    </row>
    <row r="315" spans="8:78" x14ac:dyDescent="0.25"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/>
      <c r="BC315" s="1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  <c r="BW315" s="12"/>
      <c r="BX315" s="12"/>
      <c r="BY315" s="12"/>
      <c r="BZ315" s="12"/>
    </row>
    <row r="316" spans="8:78" x14ac:dyDescent="0.25"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/>
      <c r="BC316" s="1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  <c r="BW316" s="12"/>
      <c r="BX316" s="12"/>
      <c r="BY316" s="12"/>
      <c r="BZ316" s="12"/>
    </row>
    <row r="317" spans="8:78" x14ac:dyDescent="0.25"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  <c r="BW317" s="12"/>
      <c r="BX317" s="12"/>
      <c r="BY317" s="12"/>
      <c r="BZ317" s="12"/>
    </row>
    <row r="318" spans="8:78" x14ac:dyDescent="0.25"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  <c r="BW318" s="12"/>
      <c r="BX318" s="12"/>
      <c r="BY318" s="12"/>
      <c r="BZ318" s="12"/>
    </row>
    <row r="319" spans="8:78" x14ac:dyDescent="0.25"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  <c r="BW319" s="12"/>
      <c r="BX319" s="12"/>
      <c r="BY319" s="12"/>
      <c r="BZ319" s="12"/>
    </row>
    <row r="320" spans="8:78" x14ac:dyDescent="0.25"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2"/>
      <c r="BB320" s="12"/>
      <c r="BC320" s="1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  <c r="BW320" s="12"/>
      <c r="BX320" s="12"/>
      <c r="BY320" s="12"/>
      <c r="BZ320" s="12"/>
    </row>
    <row r="321" spans="8:78" x14ac:dyDescent="0.25"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/>
      <c r="BC321" s="1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  <c r="BW321" s="12"/>
      <c r="BX321" s="12"/>
      <c r="BY321" s="12"/>
      <c r="BZ321" s="12"/>
    </row>
    <row r="322" spans="8:78" x14ac:dyDescent="0.25"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/>
      <c r="BC322" s="12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  <c r="BW322" s="12"/>
      <c r="BX322" s="12"/>
      <c r="BY322" s="12"/>
      <c r="BZ322" s="12"/>
    </row>
    <row r="323" spans="8:78" x14ac:dyDescent="0.25"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2"/>
      <c r="BB323" s="12"/>
      <c r="BC323" s="1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  <c r="BW323" s="12"/>
      <c r="BX323" s="12"/>
      <c r="BY323" s="12"/>
      <c r="BZ323" s="12"/>
    </row>
    <row r="324" spans="8:78" x14ac:dyDescent="0.25"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/>
      <c r="BC324" s="1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  <c r="BW324" s="12"/>
      <c r="BX324" s="12"/>
      <c r="BY324" s="12"/>
      <c r="BZ324" s="12"/>
    </row>
    <row r="325" spans="8:78" x14ac:dyDescent="0.25"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  <c r="BW325" s="12"/>
      <c r="BX325" s="12"/>
      <c r="BY325" s="12"/>
      <c r="BZ325" s="12"/>
    </row>
    <row r="326" spans="8:78" x14ac:dyDescent="0.25"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2"/>
      <c r="BB326" s="12"/>
      <c r="BC326" s="12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  <c r="BW326" s="12"/>
      <c r="BX326" s="12"/>
      <c r="BY326" s="12"/>
      <c r="BZ326" s="12"/>
    </row>
    <row r="327" spans="8:78" x14ac:dyDescent="0.25"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  <c r="BW327" s="12"/>
      <c r="BX327" s="12"/>
      <c r="BY327" s="12"/>
      <c r="BZ327" s="12"/>
    </row>
    <row r="328" spans="8:78" x14ac:dyDescent="0.25"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/>
      <c r="BC328" s="12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  <c r="BW328" s="12"/>
      <c r="BX328" s="12"/>
      <c r="BY328" s="12"/>
      <c r="BZ328" s="12"/>
    </row>
    <row r="329" spans="8:78" x14ac:dyDescent="0.25"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2"/>
      <c r="BB329" s="12"/>
      <c r="BC329" s="1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  <c r="BW329" s="12"/>
      <c r="BX329" s="12"/>
      <c r="BY329" s="12"/>
      <c r="BZ329" s="12"/>
    </row>
    <row r="330" spans="8:78" x14ac:dyDescent="0.25"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/>
      <c r="BC330" s="1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  <c r="BW330" s="12"/>
      <c r="BX330" s="12"/>
      <c r="BY330" s="12"/>
      <c r="BZ330" s="12"/>
    </row>
    <row r="331" spans="8:78" x14ac:dyDescent="0.25"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  <c r="BW331" s="12"/>
      <c r="BX331" s="12"/>
      <c r="BY331" s="12"/>
      <c r="BZ331" s="12"/>
    </row>
    <row r="332" spans="8:78" x14ac:dyDescent="0.25"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2"/>
      <c r="BB332" s="12"/>
      <c r="BC332" s="1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  <c r="BW332" s="12"/>
      <c r="BX332" s="12"/>
      <c r="BY332" s="12"/>
      <c r="BZ332" s="12"/>
    </row>
    <row r="333" spans="8:78" x14ac:dyDescent="0.25"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/>
      <c r="BC333" s="1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  <c r="BW333" s="12"/>
      <c r="BX333" s="12"/>
      <c r="BY333" s="12"/>
      <c r="BZ333" s="12"/>
    </row>
    <row r="334" spans="8:78" x14ac:dyDescent="0.25"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/>
      <c r="BC334" s="1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  <c r="BW334" s="12"/>
      <c r="BX334" s="12"/>
      <c r="BY334" s="12"/>
      <c r="BZ334" s="12"/>
    </row>
    <row r="335" spans="8:78" x14ac:dyDescent="0.25"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2"/>
      <c r="BB335" s="12"/>
      <c r="BC335" s="1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  <c r="BW335" s="12"/>
      <c r="BX335" s="12"/>
      <c r="BY335" s="12"/>
      <c r="BZ335" s="12"/>
    </row>
    <row r="336" spans="8:78" x14ac:dyDescent="0.25"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/>
      <c r="BC336" s="1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  <c r="BW336" s="12"/>
      <c r="BX336" s="12"/>
      <c r="BY336" s="12"/>
      <c r="BZ336" s="12"/>
    </row>
    <row r="337" spans="8:78" x14ac:dyDescent="0.25"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/>
      <c r="BC337" s="1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  <c r="BW337" s="12"/>
      <c r="BX337" s="12"/>
      <c r="BY337" s="12"/>
      <c r="BZ337" s="12"/>
    </row>
    <row r="338" spans="8:78" x14ac:dyDescent="0.25"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2"/>
      <c r="BB338" s="12"/>
      <c r="BC338" s="1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  <c r="BW338" s="12"/>
      <c r="BX338" s="12"/>
      <c r="BY338" s="12"/>
      <c r="BZ338" s="12"/>
    </row>
    <row r="339" spans="8:78" x14ac:dyDescent="0.25"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/>
      <c r="BC339" s="1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  <c r="BW339" s="12"/>
      <c r="BX339" s="12"/>
      <c r="BY339" s="12"/>
      <c r="BZ339" s="12"/>
    </row>
    <row r="340" spans="8:78" x14ac:dyDescent="0.25"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/>
      <c r="BC340" s="1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  <c r="BW340" s="12"/>
      <c r="BX340" s="12"/>
      <c r="BY340" s="12"/>
      <c r="BZ340" s="12"/>
    </row>
    <row r="341" spans="8:78" x14ac:dyDescent="0.25"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2"/>
      <c r="BB341" s="12"/>
      <c r="BC341" s="1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  <c r="BW341" s="12"/>
      <c r="BX341" s="12"/>
      <c r="BY341" s="12"/>
      <c r="BZ341" s="12"/>
    </row>
    <row r="342" spans="8:78" x14ac:dyDescent="0.25"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/>
      <c r="BC342" s="1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  <c r="BW342" s="12"/>
      <c r="BX342" s="12"/>
      <c r="BY342" s="12"/>
      <c r="BZ342" s="12"/>
    </row>
    <row r="343" spans="8:78" x14ac:dyDescent="0.25"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  <c r="BW343" s="12"/>
      <c r="BX343" s="12"/>
      <c r="BY343" s="12"/>
      <c r="BZ343" s="12"/>
    </row>
    <row r="344" spans="8:78" x14ac:dyDescent="0.25"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2"/>
      <c r="BB344" s="12"/>
      <c r="BC344" s="1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  <c r="BW344" s="12"/>
      <c r="BX344" s="12"/>
      <c r="BY344" s="12"/>
      <c r="BZ344" s="12"/>
    </row>
    <row r="345" spans="8:78" x14ac:dyDescent="0.25"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/>
      <c r="BC345" s="1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  <c r="BW345" s="12"/>
      <c r="BX345" s="12"/>
      <c r="BY345" s="12"/>
      <c r="BZ345" s="12"/>
    </row>
    <row r="346" spans="8:78" x14ac:dyDescent="0.25"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  <c r="BW346" s="12"/>
      <c r="BX346" s="12"/>
      <c r="BY346" s="12"/>
      <c r="BZ346" s="12"/>
    </row>
    <row r="347" spans="8:78" x14ac:dyDescent="0.25"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2"/>
      <c r="BB347" s="12"/>
      <c r="BC347" s="1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  <c r="BW347" s="12"/>
      <c r="BX347" s="12"/>
      <c r="BY347" s="12"/>
      <c r="BZ347" s="12"/>
    </row>
    <row r="348" spans="8:78" x14ac:dyDescent="0.25"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/>
      <c r="BC348" s="1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  <c r="BW348" s="12"/>
      <c r="BX348" s="12"/>
      <c r="BY348" s="12"/>
      <c r="BZ348" s="12"/>
    </row>
    <row r="349" spans="8:78" x14ac:dyDescent="0.25"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/>
      <c r="BC349" s="1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  <c r="BW349" s="12"/>
      <c r="BX349" s="12"/>
      <c r="BY349" s="12"/>
      <c r="BZ349" s="12"/>
    </row>
    <row r="350" spans="8:78" x14ac:dyDescent="0.25"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2"/>
      <c r="BB350" s="12"/>
      <c r="BC350" s="1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  <c r="BW350" s="12"/>
      <c r="BX350" s="12"/>
      <c r="BY350" s="12"/>
      <c r="BZ350" s="12"/>
    </row>
    <row r="351" spans="8:78" x14ac:dyDescent="0.25"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/>
      <c r="BC351" s="1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  <c r="BW351" s="12"/>
      <c r="BX351" s="12"/>
      <c r="BY351" s="12"/>
      <c r="BZ351" s="12"/>
    </row>
    <row r="352" spans="8:78" x14ac:dyDescent="0.25"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  <c r="BW352" s="12"/>
      <c r="BX352" s="12"/>
      <c r="BY352" s="12"/>
      <c r="BZ352" s="12"/>
    </row>
    <row r="353" spans="8:78" x14ac:dyDescent="0.25"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/>
      <c r="BC353" s="1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  <c r="BW353" s="12"/>
      <c r="BX353" s="12"/>
      <c r="BY353" s="12"/>
      <c r="BZ353" s="12"/>
    </row>
    <row r="354" spans="8:78" x14ac:dyDescent="0.25"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/>
      <c r="BC354" s="1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  <c r="BW354" s="12"/>
      <c r="BX354" s="12"/>
      <c r="BY354" s="12"/>
      <c r="BZ354" s="12"/>
    </row>
    <row r="355" spans="8:78" x14ac:dyDescent="0.25"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/>
      <c r="BC355" s="1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  <c r="BW355" s="12"/>
      <c r="BX355" s="12"/>
      <c r="BY355" s="12"/>
      <c r="BZ355" s="12"/>
    </row>
    <row r="356" spans="8:78" x14ac:dyDescent="0.25"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2"/>
      <c r="BB356" s="12"/>
      <c r="BC356" s="1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  <c r="BW356" s="12"/>
      <c r="BX356" s="12"/>
      <c r="BY356" s="12"/>
      <c r="BZ356" s="12"/>
    </row>
    <row r="357" spans="8:78" x14ac:dyDescent="0.25"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/>
      <c r="BC357" s="1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  <c r="BW357" s="12"/>
      <c r="BX357" s="12"/>
      <c r="BY357" s="12"/>
      <c r="BZ357" s="12"/>
    </row>
    <row r="358" spans="8:78" x14ac:dyDescent="0.25"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/>
      <c r="BC358" s="1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  <c r="BW358" s="12"/>
      <c r="BX358" s="12"/>
      <c r="BY358" s="12"/>
      <c r="BZ358" s="12"/>
    </row>
    <row r="359" spans="8:78" x14ac:dyDescent="0.25"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/>
      <c r="BC359" s="1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  <c r="BW359" s="12"/>
      <c r="BX359" s="12"/>
      <c r="BY359" s="12"/>
      <c r="BZ359" s="12"/>
    </row>
    <row r="360" spans="8:78" x14ac:dyDescent="0.25"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/>
      <c r="BC360" s="1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  <c r="BW360" s="12"/>
      <c r="BX360" s="12"/>
      <c r="BY360" s="12"/>
      <c r="BZ360" s="12"/>
    </row>
    <row r="361" spans="8:78" x14ac:dyDescent="0.25"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/>
      <c r="BC361" s="1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  <c r="BW361" s="12"/>
      <c r="BX361" s="12"/>
      <c r="BY361" s="12"/>
      <c r="BZ361" s="12"/>
    </row>
    <row r="362" spans="8:78" x14ac:dyDescent="0.25"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/>
      <c r="BC362" s="1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  <c r="BW362" s="12"/>
      <c r="BX362" s="12"/>
      <c r="BY362" s="12"/>
      <c r="BZ362" s="12"/>
    </row>
    <row r="363" spans="8:78" x14ac:dyDescent="0.25"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/>
      <c r="BC363" s="1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  <c r="BW363" s="12"/>
      <c r="BX363" s="12"/>
      <c r="BY363" s="12"/>
      <c r="BZ363" s="12"/>
    </row>
    <row r="364" spans="8:78" x14ac:dyDescent="0.25"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/>
      <c r="BC364" s="1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  <c r="BW364" s="12"/>
      <c r="BX364" s="12"/>
      <c r="BY364" s="12"/>
      <c r="BZ364" s="12"/>
    </row>
    <row r="365" spans="8:78" x14ac:dyDescent="0.25"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/>
      <c r="BC365" s="1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  <c r="BW365" s="12"/>
      <c r="BX365" s="12"/>
      <c r="BY365" s="12"/>
      <c r="BZ365" s="12"/>
    </row>
    <row r="366" spans="8:78" x14ac:dyDescent="0.25"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/>
      <c r="BC366" s="12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  <c r="BW366" s="12"/>
      <c r="BX366" s="12"/>
      <c r="BY366" s="12"/>
      <c r="BZ366" s="12"/>
    </row>
    <row r="367" spans="8:78" x14ac:dyDescent="0.25"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2"/>
      <c r="BB367" s="12"/>
      <c r="BC367" s="12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  <c r="BW367" s="12"/>
      <c r="BX367" s="12"/>
      <c r="BY367" s="12"/>
      <c r="BZ367" s="12"/>
    </row>
    <row r="368" spans="8:78" x14ac:dyDescent="0.25"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2"/>
      <c r="BB368" s="12"/>
      <c r="BC368" s="1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  <c r="BW368" s="12"/>
      <c r="BX368" s="12"/>
      <c r="BY368" s="12"/>
      <c r="BZ368" s="12"/>
    </row>
    <row r="369" spans="8:78" x14ac:dyDescent="0.25"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/>
      <c r="BC369" s="1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  <c r="BW369" s="12"/>
      <c r="BX369" s="12"/>
      <c r="BY369" s="12"/>
      <c r="BZ369" s="12"/>
    </row>
    <row r="370" spans="8:78" x14ac:dyDescent="0.25"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/>
      <c r="BC370" s="1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  <c r="BW370" s="12"/>
      <c r="BX370" s="12"/>
      <c r="BY370" s="12"/>
      <c r="BZ370" s="12"/>
    </row>
    <row r="371" spans="8:78" x14ac:dyDescent="0.25"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2"/>
      <c r="BB371" s="12"/>
      <c r="BC371" s="1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  <c r="BW371" s="12"/>
      <c r="BX371" s="12"/>
      <c r="BY371" s="12"/>
      <c r="BZ371" s="12"/>
    </row>
    <row r="372" spans="8:78" x14ac:dyDescent="0.25"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/>
      <c r="BC372" s="1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  <c r="BW372" s="12"/>
      <c r="BX372" s="12"/>
      <c r="BY372" s="12"/>
      <c r="BZ372" s="12"/>
    </row>
    <row r="373" spans="8:78" x14ac:dyDescent="0.25"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/>
      <c r="BC373" s="1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  <c r="BW373" s="12"/>
      <c r="BX373" s="12"/>
      <c r="BY373" s="12"/>
      <c r="BZ373" s="12"/>
    </row>
    <row r="374" spans="8:78" x14ac:dyDescent="0.25"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/>
      <c r="BC374" s="1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  <c r="BW374" s="12"/>
      <c r="BX374" s="12"/>
      <c r="BY374" s="12"/>
      <c r="BZ374" s="12"/>
    </row>
    <row r="375" spans="8:78" x14ac:dyDescent="0.25"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/>
      <c r="BC375" s="1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  <c r="BW375" s="12"/>
      <c r="BX375" s="12"/>
      <c r="BY375" s="12"/>
      <c r="BZ375" s="12"/>
    </row>
    <row r="376" spans="8:78" x14ac:dyDescent="0.25"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/>
      <c r="BC376" s="1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  <c r="BW376" s="12"/>
      <c r="BX376" s="12"/>
      <c r="BY376" s="12"/>
      <c r="BZ376" s="12"/>
    </row>
    <row r="377" spans="8:78" x14ac:dyDescent="0.25"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/>
      <c r="BC377" s="1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  <c r="BW377" s="12"/>
      <c r="BX377" s="12"/>
      <c r="BY377" s="12"/>
      <c r="BZ377" s="12"/>
    </row>
    <row r="378" spans="8:78" x14ac:dyDescent="0.25"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/>
      <c r="BC378" s="1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  <c r="BW378" s="12"/>
      <c r="BX378" s="12"/>
      <c r="BY378" s="12"/>
      <c r="BZ378" s="12"/>
    </row>
    <row r="379" spans="8:78" x14ac:dyDescent="0.25"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2"/>
      <c r="BB379" s="12"/>
      <c r="BC379" s="1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  <c r="BW379" s="12"/>
      <c r="BX379" s="12"/>
      <c r="BY379" s="12"/>
      <c r="BZ379" s="12"/>
    </row>
    <row r="380" spans="8:78" x14ac:dyDescent="0.25"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/>
      <c r="BC380" s="1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  <c r="BW380" s="12"/>
      <c r="BX380" s="12"/>
      <c r="BY380" s="12"/>
      <c r="BZ380" s="12"/>
    </row>
    <row r="381" spans="8:78" x14ac:dyDescent="0.25"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/>
      <c r="BC381" s="1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  <c r="BW381" s="12"/>
      <c r="BX381" s="12"/>
      <c r="BY381" s="12"/>
      <c r="BZ381" s="12"/>
    </row>
    <row r="382" spans="8:78" x14ac:dyDescent="0.25"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2"/>
      <c r="BB382" s="12"/>
      <c r="BC382" s="1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  <c r="BW382" s="12"/>
      <c r="BX382" s="12"/>
      <c r="BY382" s="12"/>
      <c r="BZ382" s="12"/>
    </row>
    <row r="383" spans="8:78" x14ac:dyDescent="0.25"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/>
      <c r="BC383" s="1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  <c r="BW383" s="12"/>
      <c r="BX383" s="12"/>
      <c r="BY383" s="12"/>
      <c r="BZ383" s="12"/>
    </row>
    <row r="384" spans="8:78" x14ac:dyDescent="0.25"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/>
      <c r="BC384" s="1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  <c r="BW384" s="12"/>
      <c r="BX384" s="12"/>
      <c r="BY384" s="12"/>
      <c r="BZ384" s="12"/>
    </row>
    <row r="385" spans="8:78" x14ac:dyDescent="0.25"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  <c r="BW385" s="12"/>
      <c r="BX385" s="12"/>
      <c r="BY385" s="12"/>
      <c r="BZ385" s="12"/>
    </row>
    <row r="386" spans="8:78" x14ac:dyDescent="0.25"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  <c r="BW386" s="12"/>
      <c r="BX386" s="12"/>
      <c r="BY386" s="12"/>
      <c r="BZ386" s="12"/>
    </row>
    <row r="387" spans="8:78" x14ac:dyDescent="0.25"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/>
      <c r="BC387" s="1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  <c r="BW387" s="12"/>
      <c r="BX387" s="12"/>
      <c r="BY387" s="12"/>
      <c r="BZ387" s="12"/>
    </row>
    <row r="388" spans="8:78" x14ac:dyDescent="0.25"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2"/>
      <c r="BB388" s="12"/>
      <c r="BC388" s="1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  <c r="BW388" s="12"/>
      <c r="BX388" s="12"/>
      <c r="BY388" s="12"/>
      <c r="BZ388" s="12"/>
    </row>
    <row r="389" spans="8:78" x14ac:dyDescent="0.25"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2"/>
      <c r="BB389" s="12"/>
      <c r="BC389" s="1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  <c r="BW389" s="12"/>
      <c r="BX389" s="12"/>
      <c r="BY389" s="12"/>
      <c r="BZ389" s="12"/>
    </row>
    <row r="390" spans="8:78" x14ac:dyDescent="0.25"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/>
      <c r="BC390" s="1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  <c r="BW390" s="12"/>
      <c r="BX390" s="12"/>
      <c r="BY390" s="12"/>
      <c r="BZ390" s="12"/>
    </row>
    <row r="391" spans="8:78" x14ac:dyDescent="0.25"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2"/>
      <c r="BB391" s="12"/>
      <c r="BC391" s="1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  <c r="BW391" s="12"/>
      <c r="BX391" s="12"/>
      <c r="BY391" s="12"/>
      <c r="BZ391" s="12"/>
    </row>
    <row r="392" spans="8:78" x14ac:dyDescent="0.25"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2"/>
      <c r="BB392" s="12"/>
      <c r="BC392" s="1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  <c r="BW392" s="12"/>
      <c r="BX392" s="12"/>
      <c r="BY392" s="12"/>
      <c r="BZ392" s="12"/>
    </row>
    <row r="393" spans="8:78" x14ac:dyDescent="0.25"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/>
      <c r="BC393" s="1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  <c r="BW393" s="12"/>
      <c r="BX393" s="12"/>
      <c r="BY393" s="12"/>
      <c r="BZ393" s="12"/>
    </row>
    <row r="394" spans="8:78" x14ac:dyDescent="0.25"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2"/>
      <c r="BB394" s="12"/>
      <c r="BC394" s="1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  <c r="BW394" s="12"/>
      <c r="BX394" s="12"/>
      <c r="BY394" s="12"/>
      <c r="BZ394" s="12"/>
    </row>
    <row r="395" spans="8:78" x14ac:dyDescent="0.25"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2"/>
      <c r="BB395" s="12"/>
      <c r="BC395" s="1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  <c r="BW395" s="12"/>
      <c r="BX395" s="12"/>
      <c r="BY395" s="12"/>
      <c r="BZ395" s="12"/>
    </row>
    <row r="396" spans="8:78" x14ac:dyDescent="0.25"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/>
      <c r="BC396" s="1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  <c r="BW396" s="12"/>
      <c r="BX396" s="12"/>
      <c r="BY396" s="12"/>
      <c r="BZ396" s="12"/>
    </row>
    <row r="397" spans="8:78" x14ac:dyDescent="0.25"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2"/>
      <c r="BB397" s="12"/>
      <c r="BC397" s="1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  <c r="BW397" s="12"/>
      <c r="BX397" s="12"/>
      <c r="BY397" s="12"/>
      <c r="BZ397" s="12"/>
    </row>
    <row r="398" spans="8:78" x14ac:dyDescent="0.25"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2"/>
      <c r="BB398" s="12"/>
      <c r="BC398" s="1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  <c r="BW398" s="12"/>
      <c r="BX398" s="12"/>
      <c r="BY398" s="12"/>
      <c r="BZ398" s="12"/>
    </row>
    <row r="399" spans="8:78" x14ac:dyDescent="0.25"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/>
      <c r="BC399" s="1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  <c r="BW399" s="12"/>
      <c r="BX399" s="12"/>
      <c r="BY399" s="12"/>
      <c r="BZ399" s="12"/>
    </row>
    <row r="400" spans="8:78" x14ac:dyDescent="0.25"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2"/>
      <c r="BB400" s="12"/>
      <c r="BC400" s="1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  <c r="BW400" s="12"/>
      <c r="BX400" s="12"/>
      <c r="BY400" s="12"/>
      <c r="BZ400" s="12"/>
    </row>
    <row r="401" spans="8:78" x14ac:dyDescent="0.25"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2"/>
      <c r="BB401" s="12"/>
      <c r="BC401" s="1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  <c r="BW401" s="12"/>
      <c r="BX401" s="12"/>
      <c r="BY401" s="12"/>
      <c r="BZ401" s="12"/>
    </row>
    <row r="402" spans="8:78" x14ac:dyDescent="0.25"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/>
      <c r="BC402" s="12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  <c r="BW402" s="12"/>
      <c r="BX402" s="12"/>
      <c r="BY402" s="12"/>
      <c r="BZ402" s="12"/>
    </row>
    <row r="403" spans="8:78" x14ac:dyDescent="0.25"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2"/>
      <c r="BB403" s="12"/>
      <c r="BC403" s="1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  <c r="BW403" s="12"/>
      <c r="BX403" s="12"/>
      <c r="BY403" s="12"/>
      <c r="BZ403" s="12"/>
    </row>
    <row r="404" spans="8:78" x14ac:dyDescent="0.25"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2"/>
      <c r="BB404" s="12"/>
      <c r="BC404" s="1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  <c r="BW404" s="12"/>
      <c r="BX404" s="12"/>
      <c r="BY404" s="12"/>
      <c r="BZ404" s="12"/>
    </row>
    <row r="405" spans="8:78" x14ac:dyDescent="0.25"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/>
      <c r="BC405" s="1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  <c r="BW405" s="12"/>
      <c r="BX405" s="12"/>
      <c r="BY405" s="12"/>
      <c r="BZ405" s="12"/>
    </row>
    <row r="406" spans="8:78" x14ac:dyDescent="0.25"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2"/>
      <c r="BB406" s="12"/>
      <c r="BC406" s="1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  <c r="BW406" s="12"/>
      <c r="BX406" s="12"/>
      <c r="BY406" s="12"/>
      <c r="BZ406" s="12"/>
    </row>
    <row r="407" spans="8:78" x14ac:dyDescent="0.25"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2"/>
      <c r="BB407" s="12"/>
      <c r="BC407" s="1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  <c r="BW407" s="12"/>
      <c r="BX407" s="12"/>
      <c r="BY407" s="12"/>
      <c r="BZ407" s="12"/>
    </row>
    <row r="408" spans="8:78" x14ac:dyDescent="0.25"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/>
      <c r="BC408" s="1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  <c r="BW408" s="12"/>
      <c r="BX408" s="12"/>
      <c r="BY408" s="12"/>
      <c r="BZ408" s="12"/>
    </row>
    <row r="409" spans="8:78" x14ac:dyDescent="0.25"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2"/>
      <c r="BB409" s="12"/>
      <c r="BC409" s="1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  <c r="BW409" s="12"/>
      <c r="BX409" s="12"/>
      <c r="BY409" s="12"/>
      <c r="BZ409" s="12"/>
    </row>
    <row r="410" spans="8:78" x14ac:dyDescent="0.25"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2"/>
      <c r="BB410" s="12"/>
      <c r="BC410" s="1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  <c r="BW410" s="12"/>
      <c r="BX410" s="12"/>
      <c r="BY410" s="12"/>
      <c r="BZ410" s="12"/>
    </row>
    <row r="411" spans="8:78" x14ac:dyDescent="0.25"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/>
      <c r="BC411" s="1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  <c r="BW411" s="12"/>
      <c r="BX411" s="12"/>
      <c r="BY411" s="12"/>
      <c r="BZ411" s="12"/>
    </row>
    <row r="412" spans="8:78" x14ac:dyDescent="0.25"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2"/>
      <c r="BB412" s="12"/>
      <c r="BC412" s="1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  <c r="BW412" s="12"/>
      <c r="BX412" s="12"/>
      <c r="BY412" s="12"/>
      <c r="BZ412" s="12"/>
    </row>
    <row r="413" spans="8:78" x14ac:dyDescent="0.25"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  <c r="BW413" s="12"/>
      <c r="BX413" s="12"/>
      <c r="BY413" s="12"/>
      <c r="BZ413" s="12"/>
    </row>
    <row r="414" spans="8:78" x14ac:dyDescent="0.25"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/>
      <c r="BC414" s="1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  <c r="BW414" s="12"/>
      <c r="BX414" s="12"/>
      <c r="BY414" s="12"/>
      <c r="BZ414" s="12"/>
    </row>
    <row r="415" spans="8:78" x14ac:dyDescent="0.25"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2"/>
      <c r="BB415" s="12"/>
      <c r="BC415" s="1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  <c r="BW415" s="12"/>
      <c r="BX415" s="12"/>
      <c r="BY415" s="12"/>
      <c r="BZ415" s="12"/>
    </row>
    <row r="416" spans="8:78" x14ac:dyDescent="0.25"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2"/>
      <c r="BB416" s="12"/>
      <c r="BC416" s="1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  <c r="BW416" s="12"/>
      <c r="BX416" s="12"/>
      <c r="BY416" s="12"/>
      <c r="BZ416" s="12"/>
    </row>
    <row r="417" spans="8:78" x14ac:dyDescent="0.25"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/>
      <c r="BC417" s="1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  <c r="BW417" s="12"/>
      <c r="BX417" s="12"/>
      <c r="BY417" s="12"/>
      <c r="BZ417" s="12"/>
    </row>
    <row r="418" spans="8:78" x14ac:dyDescent="0.25"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2"/>
      <c r="BB418" s="12"/>
      <c r="BC418" s="1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  <c r="BW418" s="12"/>
      <c r="BX418" s="12"/>
      <c r="BY418" s="12"/>
      <c r="BZ418" s="12"/>
    </row>
    <row r="419" spans="8:78" x14ac:dyDescent="0.25"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12"/>
      <c r="AW419" s="12"/>
      <c r="AX419" s="12"/>
      <c r="AY419" s="12"/>
      <c r="AZ419" s="12"/>
      <c r="BA419" s="12"/>
      <c r="BB419" s="12"/>
      <c r="BC419" s="12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  <c r="BW419" s="12"/>
      <c r="BX419" s="12"/>
      <c r="BY419" s="12"/>
      <c r="BZ419" s="12"/>
    </row>
    <row r="420" spans="8:78" x14ac:dyDescent="0.25"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2"/>
      <c r="BB420" s="12"/>
      <c r="BC420" s="1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  <c r="BW420" s="12"/>
      <c r="BX420" s="12"/>
      <c r="BY420" s="12"/>
      <c r="BZ420" s="12"/>
    </row>
    <row r="421" spans="8:78" x14ac:dyDescent="0.25"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12"/>
      <c r="AW421" s="12"/>
      <c r="AX421" s="12"/>
      <c r="AY421" s="12"/>
      <c r="AZ421" s="12"/>
      <c r="BA421" s="12"/>
      <c r="BB421" s="12"/>
      <c r="BC421" s="12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  <c r="BW421" s="12"/>
      <c r="BX421" s="12"/>
      <c r="BY421" s="12"/>
      <c r="BZ421" s="12"/>
    </row>
    <row r="422" spans="8:78" x14ac:dyDescent="0.25"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12"/>
      <c r="AW422" s="12"/>
      <c r="AX422" s="12"/>
      <c r="AY422" s="12"/>
      <c r="AZ422" s="12"/>
      <c r="BA422" s="12"/>
      <c r="BB422" s="12"/>
      <c r="BC422" s="12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  <c r="BW422" s="12"/>
      <c r="BX422" s="12"/>
      <c r="BY422" s="12"/>
      <c r="BZ422" s="12"/>
    </row>
    <row r="423" spans="8:78" x14ac:dyDescent="0.25"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12"/>
      <c r="AW423" s="12"/>
      <c r="AX423" s="12"/>
      <c r="AY423" s="12"/>
      <c r="AZ423" s="12"/>
      <c r="BA423" s="12"/>
      <c r="BB423" s="12"/>
      <c r="BC423" s="12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  <c r="BW423" s="12"/>
      <c r="BX423" s="12"/>
      <c r="BY423" s="12"/>
      <c r="BZ423" s="12"/>
    </row>
    <row r="424" spans="8:78" x14ac:dyDescent="0.25"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12"/>
      <c r="AW424" s="12"/>
      <c r="AX424" s="12"/>
      <c r="AY424" s="12"/>
      <c r="AZ424" s="12"/>
      <c r="BA424" s="12"/>
      <c r="BB424" s="12"/>
      <c r="BC424" s="12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  <c r="BW424" s="12"/>
      <c r="BX424" s="12"/>
      <c r="BY424" s="12"/>
      <c r="BZ424" s="12"/>
    </row>
    <row r="425" spans="8:78" x14ac:dyDescent="0.25"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/>
      <c r="BC425" s="12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  <c r="BW425" s="12"/>
      <c r="BX425" s="12"/>
      <c r="BY425" s="12"/>
      <c r="BZ425" s="12"/>
    </row>
    <row r="426" spans="8:78" x14ac:dyDescent="0.25"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2"/>
      <c r="BB426" s="12"/>
      <c r="BC426" s="12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  <c r="BW426" s="12"/>
      <c r="BX426" s="12"/>
      <c r="BY426" s="12"/>
      <c r="BZ426" s="12"/>
    </row>
    <row r="427" spans="8:78" x14ac:dyDescent="0.25"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2"/>
      <c r="BB427" s="12"/>
      <c r="BC427" s="1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  <c r="BW427" s="12"/>
      <c r="BX427" s="12"/>
      <c r="BY427" s="12"/>
      <c r="BZ427" s="12"/>
    </row>
    <row r="428" spans="8:78" x14ac:dyDescent="0.25"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2"/>
      <c r="BB428" s="12"/>
      <c r="BC428" s="1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  <c r="BW428" s="12"/>
      <c r="BX428" s="12"/>
      <c r="BY428" s="12"/>
      <c r="BZ428" s="12"/>
    </row>
    <row r="429" spans="8:78" x14ac:dyDescent="0.25"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2"/>
      <c r="BB429" s="12"/>
      <c r="BC429" s="1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  <c r="BW429" s="12"/>
      <c r="BX429" s="12"/>
      <c r="BY429" s="12"/>
      <c r="BZ429" s="12"/>
    </row>
    <row r="430" spans="8:78" x14ac:dyDescent="0.25"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2"/>
      <c r="BB430" s="12"/>
      <c r="BC430" s="12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  <c r="BW430" s="12"/>
      <c r="BX430" s="12"/>
      <c r="BY430" s="12"/>
      <c r="BZ430" s="12"/>
    </row>
    <row r="431" spans="8:78" x14ac:dyDescent="0.25"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2"/>
      <c r="BB431" s="12"/>
      <c r="BC431" s="1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  <c r="BW431" s="12"/>
      <c r="BX431" s="12"/>
      <c r="BY431" s="12"/>
      <c r="BZ431" s="12"/>
    </row>
    <row r="432" spans="8:78" x14ac:dyDescent="0.25"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2"/>
      <c r="BB432" s="12"/>
      <c r="BC432" s="1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  <c r="BW432" s="12"/>
      <c r="BX432" s="12"/>
      <c r="BY432" s="12"/>
      <c r="BZ432" s="12"/>
    </row>
    <row r="433" spans="8:78" x14ac:dyDescent="0.25"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2"/>
      <c r="BB433" s="12"/>
      <c r="BC433" s="1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  <c r="BW433" s="12"/>
      <c r="BX433" s="12"/>
      <c r="BY433" s="12"/>
      <c r="BZ433" s="12"/>
    </row>
    <row r="434" spans="8:78" x14ac:dyDescent="0.25"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2"/>
      <c r="BB434" s="12"/>
      <c r="BC434" s="1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  <c r="BW434" s="12"/>
      <c r="BX434" s="12"/>
      <c r="BY434" s="12"/>
      <c r="BZ434" s="12"/>
    </row>
    <row r="435" spans="8:78" x14ac:dyDescent="0.25"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2"/>
      <c r="BB435" s="12"/>
      <c r="BC435" s="1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  <c r="BW435" s="12"/>
      <c r="BX435" s="12"/>
      <c r="BY435" s="12"/>
      <c r="BZ435" s="12"/>
    </row>
    <row r="436" spans="8:78" x14ac:dyDescent="0.25"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2"/>
      <c r="BB436" s="12"/>
      <c r="BC436" s="1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  <c r="BW436" s="12"/>
      <c r="BX436" s="12"/>
      <c r="BY436" s="12"/>
      <c r="BZ436" s="12"/>
    </row>
    <row r="437" spans="8:78" x14ac:dyDescent="0.25"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/>
      <c r="BC437" s="1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  <c r="BW437" s="12"/>
      <c r="BX437" s="12"/>
      <c r="BY437" s="12"/>
      <c r="BZ437" s="12"/>
    </row>
    <row r="438" spans="8:78" x14ac:dyDescent="0.25"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2"/>
      <c r="BB438" s="12"/>
      <c r="BC438" s="12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  <c r="BW438" s="12"/>
      <c r="BX438" s="12"/>
      <c r="BY438" s="12"/>
      <c r="BZ438" s="12"/>
    </row>
    <row r="439" spans="8:78" x14ac:dyDescent="0.25"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2"/>
      <c r="BB439" s="12"/>
      <c r="BC439" s="12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  <c r="BW439" s="12"/>
      <c r="BX439" s="12"/>
      <c r="BY439" s="12"/>
      <c r="BZ439" s="12"/>
    </row>
    <row r="440" spans="8:78" x14ac:dyDescent="0.25"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/>
      <c r="BC440" s="12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  <c r="BW440" s="12"/>
      <c r="BX440" s="12"/>
      <c r="BY440" s="12"/>
      <c r="BZ440" s="12"/>
    </row>
    <row r="441" spans="8:78" x14ac:dyDescent="0.25"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2"/>
      <c r="BB441" s="12"/>
      <c r="BC441" s="12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  <c r="BW441" s="12"/>
      <c r="BX441" s="12"/>
      <c r="BY441" s="12"/>
      <c r="BZ441" s="12"/>
    </row>
    <row r="442" spans="8:78" x14ac:dyDescent="0.25"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2"/>
      <c r="BB442" s="12"/>
      <c r="BC442" s="12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  <c r="BW442" s="12"/>
      <c r="BX442" s="12"/>
      <c r="BY442" s="12"/>
      <c r="BZ442" s="12"/>
    </row>
    <row r="443" spans="8:78" x14ac:dyDescent="0.25"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/>
      <c r="BC443" s="12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  <c r="BW443" s="12"/>
      <c r="BX443" s="12"/>
      <c r="BY443" s="12"/>
      <c r="BZ443" s="12"/>
    </row>
    <row r="444" spans="8:78" x14ac:dyDescent="0.25"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12"/>
      <c r="AW444" s="12"/>
      <c r="AX444" s="12"/>
      <c r="AY444" s="12"/>
      <c r="AZ444" s="12"/>
      <c r="BA444" s="12"/>
      <c r="BB444" s="12"/>
      <c r="BC444" s="12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  <c r="BW444" s="12"/>
      <c r="BX444" s="12"/>
      <c r="BY444" s="12"/>
      <c r="BZ444" s="12"/>
    </row>
    <row r="445" spans="8:78" x14ac:dyDescent="0.25"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12"/>
      <c r="AY445" s="12"/>
      <c r="AZ445" s="12"/>
      <c r="BA445" s="12"/>
      <c r="BB445" s="12"/>
      <c r="BC445" s="12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  <c r="BW445" s="12"/>
      <c r="BX445" s="12"/>
      <c r="BY445" s="12"/>
      <c r="BZ445" s="12"/>
    </row>
    <row r="446" spans="8:78" x14ac:dyDescent="0.25"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12"/>
      <c r="AX446" s="12"/>
      <c r="AY446" s="12"/>
      <c r="AZ446" s="12"/>
      <c r="BA446" s="12"/>
      <c r="BB446" s="12"/>
      <c r="BC446" s="12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  <c r="BW446" s="12"/>
      <c r="BX446" s="12"/>
      <c r="BY446" s="12"/>
      <c r="BZ446" s="12"/>
    </row>
    <row r="447" spans="8:78" x14ac:dyDescent="0.25"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12"/>
      <c r="AW447" s="12"/>
      <c r="AX447" s="12"/>
      <c r="AY447" s="12"/>
      <c r="AZ447" s="12"/>
      <c r="BA447" s="12"/>
      <c r="BB447" s="12"/>
      <c r="BC447" s="12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  <c r="BW447" s="12"/>
      <c r="BX447" s="12"/>
      <c r="BY447" s="12"/>
      <c r="BZ447" s="12"/>
    </row>
    <row r="448" spans="8:78" x14ac:dyDescent="0.25"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12"/>
      <c r="AW448" s="12"/>
      <c r="AX448" s="12"/>
      <c r="AY448" s="12"/>
      <c r="AZ448" s="12"/>
      <c r="BA448" s="12"/>
      <c r="BB448" s="12"/>
      <c r="BC448" s="12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  <c r="BW448" s="12"/>
      <c r="BX448" s="12"/>
      <c r="BY448" s="12"/>
      <c r="BZ448" s="12"/>
    </row>
    <row r="449" spans="8:78" x14ac:dyDescent="0.25"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12"/>
      <c r="AW449" s="12"/>
      <c r="AX449" s="12"/>
      <c r="AY449" s="12"/>
      <c r="AZ449" s="12"/>
      <c r="BA449" s="12"/>
      <c r="BB449" s="12"/>
      <c r="BC449" s="12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  <c r="BW449" s="12"/>
      <c r="BX449" s="12"/>
      <c r="BY449" s="12"/>
      <c r="BZ449" s="12"/>
    </row>
    <row r="450" spans="8:78" x14ac:dyDescent="0.25"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12"/>
      <c r="AW450" s="12"/>
      <c r="AX450" s="12"/>
      <c r="AY450" s="12"/>
      <c r="AZ450" s="12"/>
      <c r="BA450" s="12"/>
      <c r="BB450" s="12"/>
      <c r="BC450" s="12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  <c r="BW450" s="12"/>
      <c r="BX450" s="12"/>
      <c r="BY450" s="12"/>
      <c r="BZ450" s="12"/>
    </row>
    <row r="451" spans="8:78" x14ac:dyDescent="0.25"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12"/>
      <c r="AW451" s="12"/>
      <c r="AX451" s="12"/>
      <c r="AY451" s="12"/>
      <c r="AZ451" s="12"/>
      <c r="BA451" s="12"/>
      <c r="BB451" s="12"/>
      <c r="BC451" s="12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  <c r="BW451" s="12"/>
      <c r="BX451" s="12"/>
      <c r="BY451" s="12"/>
      <c r="BZ451" s="12"/>
    </row>
    <row r="452" spans="8:78" x14ac:dyDescent="0.25"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/>
      <c r="BC452" s="12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  <c r="BW452" s="12"/>
      <c r="BX452" s="12"/>
      <c r="BY452" s="12"/>
      <c r="BZ452" s="12"/>
    </row>
    <row r="453" spans="8:78" x14ac:dyDescent="0.25"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12"/>
      <c r="AW453" s="12"/>
      <c r="AX453" s="12"/>
      <c r="AY453" s="12"/>
      <c r="AZ453" s="12"/>
      <c r="BA453" s="12"/>
      <c r="BB453" s="12"/>
      <c r="BC453" s="12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  <c r="BW453" s="12"/>
      <c r="BX453" s="12"/>
      <c r="BY453" s="12"/>
      <c r="BZ453" s="12"/>
    </row>
    <row r="454" spans="8:78" x14ac:dyDescent="0.25"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12"/>
      <c r="AW454" s="12"/>
      <c r="AX454" s="12"/>
      <c r="AY454" s="12"/>
      <c r="AZ454" s="12"/>
      <c r="BA454" s="12"/>
      <c r="BB454" s="12"/>
      <c r="BC454" s="12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  <c r="BW454" s="12"/>
      <c r="BX454" s="12"/>
      <c r="BY454" s="12"/>
      <c r="BZ454" s="12"/>
    </row>
    <row r="455" spans="8:78" x14ac:dyDescent="0.25"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12"/>
      <c r="AW455" s="12"/>
      <c r="AX455" s="12"/>
      <c r="AY455" s="12"/>
      <c r="AZ455" s="12"/>
      <c r="BA455" s="12"/>
      <c r="BB455" s="12"/>
      <c r="BC455" s="12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  <c r="BW455" s="12"/>
      <c r="BX455" s="12"/>
      <c r="BY455" s="12"/>
      <c r="BZ455" s="12"/>
    </row>
    <row r="456" spans="8:78" x14ac:dyDescent="0.25"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2"/>
      <c r="BB456" s="12"/>
      <c r="BC456" s="12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  <c r="BW456" s="12"/>
      <c r="BX456" s="12"/>
      <c r="BY456" s="12"/>
      <c r="BZ456" s="12"/>
    </row>
    <row r="457" spans="8:78" x14ac:dyDescent="0.25"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12"/>
      <c r="AW457" s="12"/>
      <c r="AX457" s="12"/>
      <c r="AY457" s="12"/>
      <c r="AZ457" s="12"/>
      <c r="BA457" s="12"/>
      <c r="BB457" s="12"/>
      <c r="BC457" s="12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  <c r="BW457" s="12"/>
      <c r="BX457" s="12"/>
      <c r="BY457" s="12"/>
      <c r="BZ457" s="12"/>
    </row>
    <row r="458" spans="8:78" x14ac:dyDescent="0.25"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/>
      <c r="BC458" s="12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  <c r="BW458" s="12"/>
      <c r="BX458" s="12"/>
      <c r="BY458" s="12"/>
      <c r="BZ458" s="12"/>
    </row>
    <row r="459" spans="8:78" x14ac:dyDescent="0.25"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12"/>
      <c r="AW459" s="12"/>
      <c r="AX459" s="12"/>
      <c r="AY459" s="12"/>
      <c r="AZ459" s="12"/>
      <c r="BA459" s="12"/>
      <c r="BB459" s="12"/>
      <c r="BC459" s="12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  <c r="BW459" s="12"/>
      <c r="BX459" s="12"/>
      <c r="BY459" s="12"/>
      <c r="BZ459" s="12"/>
    </row>
    <row r="460" spans="8:78" x14ac:dyDescent="0.25"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2"/>
      <c r="BB460" s="12"/>
      <c r="BC460" s="12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  <c r="BW460" s="12"/>
      <c r="BX460" s="12"/>
      <c r="BY460" s="12"/>
      <c r="BZ460" s="12"/>
    </row>
    <row r="461" spans="8:78" x14ac:dyDescent="0.25"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/>
      <c r="BC461" s="12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  <c r="BW461" s="12"/>
      <c r="BX461" s="12"/>
      <c r="BY461" s="12"/>
      <c r="BZ461" s="12"/>
    </row>
    <row r="462" spans="8:78" x14ac:dyDescent="0.25"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2"/>
      <c r="BB462" s="12"/>
      <c r="BC462" s="1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  <c r="BW462" s="12"/>
      <c r="BX462" s="12"/>
      <c r="BY462" s="12"/>
      <c r="BZ462" s="12"/>
    </row>
    <row r="463" spans="8:78" x14ac:dyDescent="0.25"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2"/>
      <c r="BB463" s="12"/>
      <c r="BC463" s="12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  <c r="BW463" s="12"/>
      <c r="BX463" s="12"/>
      <c r="BY463" s="12"/>
      <c r="BZ463" s="12"/>
    </row>
    <row r="464" spans="8:78" x14ac:dyDescent="0.25"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12"/>
      <c r="AW464" s="12"/>
      <c r="AX464" s="12"/>
      <c r="AY464" s="12"/>
      <c r="AZ464" s="12"/>
      <c r="BA464" s="12"/>
      <c r="BB464" s="12"/>
      <c r="BC464" s="12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  <c r="BW464" s="12"/>
      <c r="BX464" s="12"/>
      <c r="BY464" s="12"/>
      <c r="BZ464" s="12"/>
    </row>
    <row r="465" spans="8:78" x14ac:dyDescent="0.25"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12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  <c r="BW465" s="12"/>
      <c r="BX465" s="12"/>
      <c r="BY465" s="12"/>
      <c r="BZ465" s="12"/>
    </row>
    <row r="466" spans="8:78" x14ac:dyDescent="0.25"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2"/>
      <c r="BB466" s="12"/>
      <c r="BC466" s="12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  <c r="BW466" s="12"/>
      <c r="BX466" s="12"/>
      <c r="BY466" s="12"/>
      <c r="BZ466" s="12"/>
    </row>
    <row r="467" spans="8:78" x14ac:dyDescent="0.25"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/>
      <c r="AX467" s="12"/>
      <c r="AY467" s="12"/>
      <c r="AZ467" s="12"/>
      <c r="BA467" s="12"/>
      <c r="BB467" s="12"/>
      <c r="BC467" s="12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  <c r="BW467" s="12"/>
      <c r="BX467" s="12"/>
      <c r="BY467" s="12"/>
      <c r="BZ467" s="12"/>
    </row>
    <row r="468" spans="8:78" x14ac:dyDescent="0.25"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12"/>
      <c r="AW468" s="12"/>
      <c r="AX468" s="12"/>
      <c r="AY468" s="12"/>
      <c r="AZ468" s="12"/>
      <c r="BA468" s="12"/>
      <c r="BB468" s="12"/>
      <c r="BC468" s="12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  <c r="BW468" s="12"/>
      <c r="BX468" s="12"/>
      <c r="BY468" s="12"/>
      <c r="BZ468" s="12"/>
    </row>
    <row r="469" spans="8:78" x14ac:dyDescent="0.25"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12"/>
      <c r="AW469" s="12"/>
      <c r="AX469" s="12"/>
      <c r="AY469" s="12"/>
      <c r="AZ469" s="12"/>
      <c r="BA469" s="12"/>
      <c r="BB469" s="12"/>
      <c r="BC469" s="12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  <c r="BW469" s="12"/>
      <c r="BX469" s="12"/>
      <c r="BY469" s="12"/>
      <c r="BZ469" s="12"/>
    </row>
    <row r="470" spans="8:78" x14ac:dyDescent="0.25"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/>
      <c r="BC470" s="12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  <c r="BW470" s="12"/>
      <c r="BX470" s="12"/>
      <c r="BY470" s="12"/>
      <c r="BZ470" s="12"/>
    </row>
    <row r="471" spans="8:78" x14ac:dyDescent="0.25"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2"/>
      <c r="BB471" s="12"/>
      <c r="BC471" s="1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  <c r="BW471" s="12"/>
      <c r="BX471" s="12"/>
      <c r="BY471" s="12"/>
      <c r="BZ471" s="12"/>
    </row>
    <row r="472" spans="8:78" x14ac:dyDescent="0.25"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2"/>
      <c r="BB472" s="12"/>
      <c r="BC472" s="1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  <c r="BW472" s="12"/>
      <c r="BX472" s="12"/>
      <c r="BY472" s="12"/>
      <c r="BZ472" s="12"/>
    </row>
    <row r="473" spans="8:78" x14ac:dyDescent="0.25"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/>
      <c r="BC473" s="1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  <c r="BW473" s="12"/>
      <c r="BX473" s="12"/>
      <c r="BY473" s="12"/>
      <c r="BZ473" s="12"/>
    </row>
    <row r="474" spans="8:78" x14ac:dyDescent="0.25"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2"/>
      <c r="BB474" s="12"/>
      <c r="BC474" s="12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  <c r="BW474" s="12"/>
      <c r="BX474" s="12"/>
      <c r="BY474" s="12"/>
      <c r="BZ474" s="12"/>
    </row>
    <row r="475" spans="8:78" x14ac:dyDescent="0.25"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2"/>
      <c r="BB475" s="12"/>
      <c r="BC475" s="1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  <c r="BW475" s="12"/>
      <c r="BX475" s="12"/>
      <c r="BY475" s="12"/>
      <c r="BZ475" s="12"/>
    </row>
    <row r="476" spans="8:78" x14ac:dyDescent="0.25"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/>
      <c r="BC476" s="1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  <c r="BW476" s="12"/>
      <c r="BX476" s="12"/>
      <c r="BY476" s="12"/>
      <c r="BZ476" s="12"/>
    </row>
    <row r="477" spans="8:78" x14ac:dyDescent="0.25"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2"/>
      <c r="BB477" s="12"/>
      <c r="BC477" s="1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  <c r="BW477" s="12"/>
      <c r="BX477" s="12"/>
      <c r="BY477" s="12"/>
      <c r="BZ477" s="12"/>
    </row>
    <row r="478" spans="8:78" x14ac:dyDescent="0.25"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2"/>
      <c r="BB478" s="12"/>
      <c r="BC478" s="1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  <c r="BW478" s="12"/>
      <c r="BX478" s="12"/>
      <c r="BY478" s="12"/>
      <c r="BZ478" s="12"/>
    </row>
    <row r="479" spans="8:78" x14ac:dyDescent="0.25"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/>
      <c r="BC479" s="12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  <c r="BW479" s="12"/>
      <c r="BX479" s="12"/>
      <c r="BY479" s="12"/>
      <c r="BZ479" s="12"/>
    </row>
    <row r="480" spans="8:78" x14ac:dyDescent="0.25"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2"/>
      <c r="BB480" s="12"/>
      <c r="BC480" s="1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  <c r="BW480" s="12"/>
      <c r="BX480" s="12"/>
      <c r="BY480" s="12"/>
      <c r="BZ480" s="12"/>
    </row>
    <row r="481" spans="8:78" x14ac:dyDescent="0.25"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2"/>
      <c r="BB481" s="12"/>
      <c r="BC481" s="1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  <c r="BW481" s="12"/>
      <c r="BX481" s="12"/>
      <c r="BY481" s="12"/>
      <c r="BZ481" s="12"/>
    </row>
    <row r="482" spans="8:78" x14ac:dyDescent="0.25"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2"/>
      <c r="BB482" s="12"/>
      <c r="BC482" s="1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  <c r="BW482" s="12"/>
      <c r="BX482" s="12"/>
      <c r="BY482" s="12"/>
      <c r="BZ482" s="12"/>
    </row>
    <row r="483" spans="8:78" x14ac:dyDescent="0.25"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2"/>
      <c r="BB483" s="12"/>
      <c r="BC483" s="1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  <c r="BW483" s="12"/>
      <c r="BX483" s="12"/>
      <c r="BY483" s="12"/>
      <c r="BZ483" s="12"/>
    </row>
    <row r="484" spans="8:78" x14ac:dyDescent="0.25"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2"/>
      <c r="BB484" s="12"/>
      <c r="BC484" s="12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  <c r="BW484" s="12"/>
      <c r="BX484" s="12"/>
      <c r="BY484" s="12"/>
      <c r="BZ484" s="12"/>
    </row>
    <row r="485" spans="8:78" x14ac:dyDescent="0.25"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2"/>
      <c r="BB485" s="12"/>
      <c r="BC485" s="12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  <c r="BW485" s="12"/>
      <c r="BX485" s="12"/>
      <c r="BY485" s="12"/>
      <c r="BZ485" s="12"/>
    </row>
    <row r="486" spans="8:78" x14ac:dyDescent="0.25"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2"/>
      <c r="BB486" s="12"/>
      <c r="BC486" s="1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  <c r="BW486" s="12"/>
      <c r="BX486" s="12"/>
      <c r="BY486" s="12"/>
      <c r="BZ486" s="12"/>
    </row>
    <row r="487" spans="8:78" x14ac:dyDescent="0.25"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2"/>
      <c r="BB487" s="12"/>
      <c r="BC487" s="1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  <c r="BW487" s="12"/>
      <c r="BX487" s="12"/>
      <c r="BY487" s="12"/>
      <c r="BZ487" s="12"/>
    </row>
    <row r="488" spans="8:78" x14ac:dyDescent="0.25"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2"/>
      <c r="BB488" s="12"/>
      <c r="BC488" s="1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  <c r="BW488" s="12"/>
      <c r="BX488" s="12"/>
      <c r="BY488" s="12"/>
      <c r="BZ488" s="12"/>
    </row>
    <row r="489" spans="8:78" x14ac:dyDescent="0.25"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2"/>
      <c r="BB489" s="12"/>
      <c r="BC489" s="1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  <c r="BW489" s="12"/>
      <c r="BX489" s="12"/>
      <c r="BY489" s="12"/>
      <c r="BZ489" s="12"/>
    </row>
    <row r="490" spans="8:78" x14ac:dyDescent="0.25"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2"/>
      <c r="BB490" s="12"/>
      <c r="BC490" s="1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  <c r="BW490" s="12"/>
      <c r="BX490" s="12"/>
      <c r="BY490" s="12"/>
      <c r="BZ490" s="12"/>
    </row>
    <row r="491" spans="8:78" x14ac:dyDescent="0.25"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2"/>
      <c r="BB491" s="12"/>
      <c r="BC491" s="1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  <c r="BW491" s="12"/>
      <c r="BX491" s="12"/>
      <c r="BY491" s="12"/>
      <c r="BZ491" s="12"/>
    </row>
    <row r="492" spans="8:78" x14ac:dyDescent="0.25"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2"/>
      <c r="BB492" s="12"/>
      <c r="BC492" s="1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  <c r="BW492" s="12"/>
      <c r="BX492" s="12"/>
      <c r="BY492" s="12"/>
      <c r="BZ492" s="12"/>
    </row>
    <row r="493" spans="8:78" x14ac:dyDescent="0.25"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2"/>
      <c r="BB493" s="12"/>
      <c r="BC493" s="12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  <c r="BW493" s="12"/>
      <c r="BX493" s="12"/>
      <c r="BY493" s="12"/>
      <c r="BZ493" s="12"/>
    </row>
    <row r="494" spans="8:78" x14ac:dyDescent="0.25"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2"/>
      <c r="BB494" s="12"/>
      <c r="BC494" s="1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  <c r="BW494" s="12"/>
      <c r="BX494" s="12"/>
      <c r="BY494" s="12"/>
      <c r="BZ494" s="12"/>
    </row>
    <row r="495" spans="8:78" x14ac:dyDescent="0.25"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2"/>
      <c r="BB495" s="12"/>
      <c r="BC495" s="1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  <c r="BW495" s="12"/>
      <c r="BX495" s="12"/>
      <c r="BY495" s="12"/>
      <c r="BZ495" s="12"/>
    </row>
    <row r="496" spans="8:78" x14ac:dyDescent="0.25"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2"/>
      <c r="BB496" s="12"/>
      <c r="BC496" s="1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  <c r="BW496" s="12"/>
      <c r="BX496" s="12"/>
      <c r="BY496" s="12"/>
      <c r="BZ496" s="12"/>
    </row>
    <row r="497" spans="8:78" x14ac:dyDescent="0.25"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2"/>
      <c r="BB497" s="12"/>
      <c r="BC497" s="1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  <c r="BW497" s="12"/>
      <c r="BX497" s="12"/>
      <c r="BY497" s="12"/>
      <c r="BZ497" s="12"/>
    </row>
    <row r="498" spans="8:78" x14ac:dyDescent="0.25"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2"/>
      <c r="BB498" s="12"/>
      <c r="BC498" s="1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  <c r="BW498" s="12"/>
      <c r="BX498" s="12"/>
      <c r="BY498" s="12"/>
      <c r="BZ498" s="12"/>
    </row>
    <row r="499" spans="8:78" x14ac:dyDescent="0.25"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/>
      <c r="BC499" s="1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  <c r="BW499" s="12"/>
      <c r="BX499" s="12"/>
      <c r="BY499" s="12"/>
      <c r="BZ499" s="12"/>
    </row>
    <row r="500" spans="8:78" x14ac:dyDescent="0.25"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2"/>
      <c r="BB500" s="12"/>
      <c r="BC500" s="12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  <c r="BW500" s="12"/>
      <c r="BX500" s="12"/>
      <c r="BY500" s="12"/>
      <c r="BZ500" s="12"/>
    </row>
  </sheetData>
  <mergeCells count="1">
    <mergeCell ref="A1:BZ1"/>
  </mergeCells>
  <conditionalFormatting sqref="H4:BZ500">
    <cfRule type="cellIs" dxfId="4" priority="2" operator="equal">
      <formula>1</formula>
    </cfRule>
    <cfRule type="cellIs" dxfId="3" priority="3" operator="equal">
      <formula>0</formula>
    </cfRule>
  </conditionalFormatting>
  <conditionalFormatting sqref="A4:G4">
    <cfRule type="expression" dxfId="2" priority="1">
      <formula>ISBLANK(H4)</formula>
    </cfRule>
  </conditionalFormatting>
  <dataValidations count="2">
    <dataValidation type="list" allowBlank="1" sqref="C4" xr:uid="{00000000-0002-0000-0700-000000000000}">
      <formula1>ClassList</formula1>
    </dataValidation>
    <dataValidation type="whole" allowBlank="1" showErrorMessage="1" errorTitle="Invalid entry" error="Enter 1 (Present) or 0 (Absent) only." sqref="H4:BZ500" xr:uid="{00000000-0002-0000-0700-000001000000}">
      <formula1>0</formula1>
      <formula2>1</formula2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BFBFBF"/>
  </sheetPr>
  <dimension ref="A1:N16"/>
  <sheetViews>
    <sheetView showGridLines="0" workbookViewId="0">
      <pane ySplit="3" topLeftCell="A4" activePane="bottomLeft" state="frozen"/>
      <selection pane="bottomLeft" activeCell="G11" sqref="G11"/>
    </sheetView>
  </sheetViews>
  <sheetFormatPr defaultRowHeight="15" x14ac:dyDescent="0.25"/>
  <cols>
    <col min="1" max="1" width="18" customWidth="1"/>
    <col min="2" max="2" width="14" customWidth="1"/>
    <col min="3" max="3" width="3" customWidth="1"/>
    <col min="4" max="4" width="20" customWidth="1"/>
    <col min="5" max="5" width="24" customWidth="1"/>
    <col min="6" max="6" width="3" customWidth="1"/>
  </cols>
  <sheetData>
    <row r="1" spans="1:14" ht="27.95" customHeight="1" x14ac:dyDescent="0.25">
      <c r="A1" s="40" t="s">
        <v>59</v>
      </c>
      <c r="B1" s="38"/>
      <c r="C1" s="38"/>
      <c r="D1" s="38"/>
      <c r="E1" s="38"/>
    </row>
    <row r="3" spans="1:14" ht="30" x14ac:dyDescent="0.25">
      <c r="A3" s="4" t="s">
        <v>36</v>
      </c>
      <c r="B3" s="4" t="s">
        <v>60</v>
      </c>
      <c r="D3" s="7" t="s">
        <v>61</v>
      </c>
      <c r="E3" s="22" t="s">
        <v>105</v>
      </c>
    </row>
    <row r="4" spans="1:14" x14ac:dyDescent="0.25">
      <c r="A4" s="13" t="s">
        <v>62</v>
      </c>
      <c r="B4" s="10">
        <v>10000</v>
      </c>
      <c r="D4" s="7" t="s">
        <v>63</v>
      </c>
      <c r="E4" s="8" t="s">
        <v>64</v>
      </c>
    </row>
    <row r="5" spans="1:14" x14ac:dyDescent="0.25">
      <c r="A5" s="13" t="s">
        <v>65</v>
      </c>
      <c r="B5" s="10">
        <v>10000</v>
      </c>
      <c r="D5" s="7" t="s">
        <v>66</v>
      </c>
      <c r="E5" s="8" t="s">
        <v>25</v>
      </c>
    </row>
    <row r="6" spans="1:14" x14ac:dyDescent="0.25">
      <c r="A6" s="13" t="s">
        <v>67</v>
      </c>
      <c r="B6" s="10">
        <v>10000</v>
      </c>
      <c r="D6" s="7" t="s">
        <v>68</v>
      </c>
      <c r="E6" s="14">
        <v>2026</v>
      </c>
    </row>
    <row r="7" spans="1:14" x14ac:dyDescent="0.25">
      <c r="A7" s="13" t="s">
        <v>69</v>
      </c>
      <c r="B7" s="10">
        <v>10000</v>
      </c>
      <c r="D7" s="7" t="s">
        <v>70</v>
      </c>
      <c r="E7" s="8" t="s">
        <v>71</v>
      </c>
    </row>
    <row r="8" spans="1:14" x14ac:dyDescent="0.25">
      <c r="A8" s="13" t="s">
        <v>72</v>
      </c>
      <c r="B8" s="10">
        <v>10000</v>
      </c>
      <c r="N8" s="34"/>
    </row>
    <row r="9" spans="1:14" x14ac:dyDescent="0.25">
      <c r="A9" s="13" t="s">
        <v>73</v>
      </c>
      <c r="B9" s="10">
        <v>10000</v>
      </c>
      <c r="D9" s="7" t="s">
        <v>74</v>
      </c>
      <c r="E9" s="46" t="s">
        <v>75</v>
      </c>
      <c r="F9" s="38"/>
    </row>
    <row r="10" spans="1:14" x14ac:dyDescent="0.25">
      <c r="A10" s="13" t="s">
        <v>76</v>
      </c>
      <c r="B10" s="10">
        <v>10000</v>
      </c>
    </row>
    <row r="11" spans="1:14" x14ac:dyDescent="0.25">
      <c r="A11" s="13" t="s">
        <v>77</v>
      </c>
      <c r="B11" s="10">
        <v>10000</v>
      </c>
    </row>
    <row r="12" spans="1:14" x14ac:dyDescent="0.25">
      <c r="A12" s="13" t="s">
        <v>78</v>
      </c>
      <c r="B12" s="10">
        <v>10000</v>
      </c>
    </row>
    <row r="13" spans="1:14" x14ac:dyDescent="0.25">
      <c r="A13" s="13" t="s">
        <v>79</v>
      </c>
      <c r="B13" s="10">
        <v>10000</v>
      </c>
    </row>
    <row r="14" spans="1:14" x14ac:dyDescent="0.25">
      <c r="A14" s="13" t="s">
        <v>80</v>
      </c>
      <c r="B14" s="10">
        <v>10000</v>
      </c>
    </row>
    <row r="15" spans="1:14" x14ac:dyDescent="0.25">
      <c r="A15" s="13" t="s">
        <v>81</v>
      </c>
      <c r="B15" s="10">
        <v>10000</v>
      </c>
    </row>
    <row r="16" spans="1:14" x14ac:dyDescent="0.25">
      <c r="A16" s="13" t="s">
        <v>82</v>
      </c>
      <c r="B16" s="10">
        <v>10000</v>
      </c>
    </row>
  </sheetData>
  <mergeCells count="2">
    <mergeCell ref="E9:F9"/>
    <mergeCell ref="A1:E1"/>
  </mergeCells>
  <dataValidations count="1">
    <dataValidation type="list" sqref="E5" xr:uid="{00000000-0002-0000-0800-000000000000}">
      <formula1>"January,February,March,April,May,June,July,August,September,October,November,December"</formula1>
    </dataValidation>
  </dataValidations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"/>
  <sheetViews>
    <sheetView showGridLines="0" workbookViewId="0">
      <selection sqref="A1:F1"/>
    </sheetView>
  </sheetViews>
  <sheetFormatPr defaultRowHeight="15" x14ac:dyDescent="0.25"/>
  <sheetData>
    <row r="1" spans="1:6" ht="27.95" customHeight="1" x14ac:dyDescent="0.25">
      <c r="A1" s="40" t="s">
        <v>83</v>
      </c>
      <c r="B1" s="38"/>
      <c r="C1" s="38"/>
      <c r="D1" s="38"/>
      <c r="E1" s="38"/>
      <c r="F1" s="38"/>
    </row>
    <row r="3" spans="1:6" ht="30" x14ac:dyDescent="0.25">
      <c r="A3" s="4" t="s">
        <v>84</v>
      </c>
      <c r="B3" s="4" t="s">
        <v>85</v>
      </c>
      <c r="C3" s="4" t="s">
        <v>86</v>
      </c>
      <c r="D3" s="4" t="s">
        <v>35</v>
      </c>
      <c r="E3" s="4" t="s">
        <v>87</v>
      </c>
      <c r="F3" s="4" t="s">
        <v>9</v>
      </c>
    </row>
  </sheetData>
  <mergeCells count="1">
    <mergeCell ref="A1:F1"/>
  </mergeCell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1"/>
  <sheetViews>
    <sheetView showGridLines="0" workbookViewId="0">
      <selection sqref="A1:F1"/>
    </sheetView>
  </sheetViews>
  <sheetFormatPr defaultRowHeight="15" x14ac:dyDescent="0.25"/>
  <sheetData>
    <row r="1" spans="1:6" ht="27.95" customHeight="1" x14ac:dyDescent="0.25">
      <c r="A1" s="40" t="s">
        <v>88</v>
      </c>
      <c r="B1" s="38"/>
      <c r="C1" s="38"/>
      <c r="D1" s="38"/>
      <c r="E1" s="38"/>
      <c r="F1" s="38"/>
    </row>
  </sheetData>
  <mergeCells count="1">
    <mergeCell ref="A1:F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8AA86-1CF7-440A-A02D-357649336AA7}">
  <sheetPr codeName="Sheet13"/>
  <dimension ref="A1:I8"/>
  <sheetViews>
    <sheetView workbookViewId="0">
      <selection activeCell="I2" sqref="I2:I8"/>
    </sheetView>
  </sheetViews>
  <sheetFormatPr defaultRowHeight="15" x14ac:dyDescent="0.25"/>
  <cols>
    <col min="1" max="1" width="14.140625" customWidth="1"/>
    <col min="2" max="2" width="17.28515625" customWidth="1"/>
    <col min="3" max="3" width="10.28515625" customWidth="1"/>
    <col min="4" max="4" width="10.85546875" customWidth="1"/>
    <col min="5" max="5" width="11.140625" customWidth="1"/>
    <col min="6" max="6" width="10.85546875" customWidth="1"/>
    <col min="7" max="7" width="10.5703125" customWidth="1"/>
    <col min="8" max="8" width="15.28515625" customWidth="1"/>
    <col min="9" max="9" width="16.85546875" customWidth="1"/>
  </cols>
  <sheetData>
    <row r="1" spans="1:9" ht="15.75" x14ac:dyDescent="0.25">
      <c r="A1" s="35" t="s">
        <v>102</v>
      </c>
      <c r="B1" s="35" t="s">
        <v>31</v>
      </c>
      <c r="C1" s="35" t="s">
        <v>36</v>
      </c>
      <c r="D1" s="35" t="s">
        <v>14</v>
      </c>
      <c r="E1" s="35" t="s">
        <v>103</v>
      </c>
      <c r="F1" s="35" t="s">
        <v>55</v>
      </c>
      <c r="G1" s="35" t="s">
        <v>104</v>
      </c>
      <c r="H1" s="35" t="s">
        <v>57</v>
      </c>
      <c r="I1" s="35" t="s">
        <v>58</v>
      </c>
    </row>
    <row r="2" spans="1:9" x14ac:dyDescent="0.25">
      <c r="I2" s="36"/>
    </row>
    <row r="3" spans="1:9" x14ac:dyDescent="0.25">
      <c r="A3" t="s">
        <v>90</v>
      </c>
      <c r="B3" t="s">
        <v>91</v>
      </c>
      <c r="C3" t="s">
        <v>73</v>
      </c>
      <c r="D3" t="s">
        <v>25</v>
      </c>
      <c r="E3">
        <v>2026</v>
      </c>
      <c r="F3">
        <v>1</v>
      </c>
      <c r="G3">
        <v>0</v>
      </c>
      <c r="H3">
        <v>1</v>
      </c>
      <c r="I3" s="36">
        <v>1</v>
      </c>
    </row>
    <row r="4" spans="1:9" x14ac:dyDescent="0.25">
      <c r="A4" t="s">
        <v>93</v>
      </c>
      <c r="B4" t="s">
        <v>92</v>
      </c>
      <c r="C4" t="s">
        <v>77</v>
      </c>
      <c r="D4" t="s">
        <v>25</v>
      </c>
      <c r="E4">
        <v>2026</v>
      </c>
      <c r="F4">
        <v>0</v>
      </c>
      <c r="G4">
        <v>1</v>
      </c>
      <c r="H4">
        <v>1</v>
      </c>
      <c r="I4" s="36">
        <v>0</v>
      </c>
    </row>
    <row r="5" spans="1:9" x14ac:dyDescent="0.25">
      <c r="A5" t="s">
        <v>95</v>
      </c>
      <c r="B5" t="s">
        <v>94</v>
      </c>
      <c r="C5" t="s">
        <v>73</v>
      </c>
      <c r="D5" t="s">
        <v>25</v>
      </c>
      <c r="E5">
        <v>2026</v>
      </c>
      <c r="F5">
        <v>0</v>
      </c>
      <c r="G5">
        <v>1</v>
      </c>
      <c r="H5">
        <v>1</v>
      </c>
      <c r="I5" s="36">
        <v>0</v>
      </c>
    </row>
    <row r="6" spans="1:9" x14ac:dyDescent="0.25">
      <c r="A6" t="s">
        <v>97</v>
      </c>
      <c r="B6" t="s">
        <v>96</v>
      </c>
      <c r="C6" t="s">
        <v>77</v>
      </c>
      <c r="D6" t="s">
        <v>25</v>
      </c>
      <c r="E6">
        <v>2026</v>
      </c>
      <c r="F6">
        <v>0</v>
      </c>
      <c r="G6">
        <v>1</v>
      </c>
      <c r="H6">
        <v>1</v>
      </c>
      <c r="I6" s="36">
        <v>0</v>
      </c>
    </row>
    <row r="7" spans="1:9" x14ac:dyDescent="0.25">
      <c r="A7" t="s">
        <v>99</v>
      </c>
      <c r="B7" t="s">
        <v>98</v>
      </c>
      <c r="C7" t="s">
        <v>77</v>
      </c>
      <c r="D7" t="s">
        <v>25</v>
      </c>
      <c r="E7">
        <v>2026</v>
      </c>
      <c r="F7">
        <v>1</v>
      </c>
      <c r="G7">
        <v>0</v>
      </c>
      <c r="H7">
        <v>1</v>
      </c>
      <c r="I7" s="36">
        <v>1</v>
      </c>
    </row>
    <row r="8" spans="1:9" x14ac:dyDescent="0.25">
      <c r="A8" t="s">
        <v>101</v>
      </c>
      <c r="B8" t="s">
        <v>100</v>
      </c>
      <c r="C8" t="s">
        <v>69</v>
      </c>
      <c r="D8" t="s">
        <v>25</v>
      </c>
      <c r="E8">
        <v>2026</v>
      </c>
      <c r="F8">
        <v>0</v>
      </c>
      <c r="G8">
        <v>0</v>
      </c>
      <c r="H8">
        <v>0</v>
      </c>
      <c r="I8" s="36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1"/>
  <sheetViews>
    <sheetView showGridLines="0" workbookViewId="0">
      <selection sqref="A1:F1"/>
    </sheetView>
  </sheetViews>
  <sheetFormatPr defaultRowHeight="15" x14ac:dyDescent="0.25"/>
  <sheetData>
    <row r="1" spans="1:6" ht="27.95" customHeight="1" x14ac:dyDescent="0.25">
      <c r="A1" s="40" t="s">
        <v>89</v>
      </c>
      <c r="B1" s="38"/>
      <c r="C1" s="38"/>
      <c r="D1" s="38"/>
      <c r="E1" s="38"/>
      <c r="F1" s="38"/>
    </row>
  </sheetData>
  <mergeCells count="1"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Dashboard</vt:lpstr>
      <vt:lpstr>Summary</vt:lpstr>
      <vt:lpstr>Student Registration</vt:lpstr>
      <vt:lpstr>Student Register</vt:lpstr>
      <vt:lpstr>Payment Entry Form</vt:lpstr>
      <vt:lpstr>Payment Tracker</vt:lpstr>
      <vt:lpstr>Attendance Form</vt:lpstr>
      <vt:lpstr>Attendance Register</vt:lpstr>
      <vt:lpstr>Settings</vt:lpstr>
      <vt:lpstr>Staff Register</vt:lpstr>
      <vt:lpstr>Target Tracker</vt:lpstr>
      <vt:lpstr>Attendance Archive</vt:lpstr>
      <vt:lpstr>Dropout Analysis</vt:lpstr>
      <vt:lpstr>AttendanceMonth</vt:lpstr>
      <vt:lpstr>AttendanceYear</vt:lpstr>
      <vt:lpstr>ClassFeeTable</vt:lpstr>
      <vt:lpstr>ClassList</vt:lpstr>
      <vt:lpstr>CurrentSession</vt:lpstr>
      <vt:lpstr>SchoolName</vt:lpstr>
      <vt:lpstr>StudentLookupList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Daniel Ohajunwa</cp:lastModifiedBy>
  <dcterms:created xsi:type="dcterms:W3CDTF">2026-07-27T08:40:13Z</dcterms:created>
  <dcterms:modified xsi:type="dcterms:W3CDTF">2026-07-27T16:09:59Z</dcterms:modified>
</cp:coreProperties>
</file>